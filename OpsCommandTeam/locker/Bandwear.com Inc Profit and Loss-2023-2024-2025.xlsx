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6" i="1" l="1"/>
</calcChain>
</file>

<file path=xl/sharedStrings.xml><?xml version="1.0" encoding="utf-8"?>
<sst xmlns="http://schemas.openxmlformats.org/spreadsheetml/2006/main" count="162" uniqueCount="161">
  <si>
    <t>Profit and Loss</t>
  </si>
  <si>
    <t>Bandwear.com Inc.</t>
  </si>
  <si>
    <t>January, 2023-December, 2025</t>
  </si>
  <si>
    <t>Income</t>
  </si>
  <si>
    <t>CONSIGN Sales</t>
  </si>
  <si>
    <t>Consignment Sales</t>
  </si>
  <si>
    <t>Consignment Sales Cost</t>
  </si>
  <si>
    <t>Customer Service</t>
  </si>
  <si>
    <t>Redbubble Sales</t>
  </si>
  <si>
    <t>Sales Channel Fees</t>
  </si>
  <si>
    <t>Storage Income</t>
  </si>
  <si>
    <t>TikTok Sales</t>
  </si>
  <si>
    <t>Transactional Fees</t>
  </si>
  <si>
    <t>Total for CONSIGN Sales</t>
  </si>
  <si>
    <t>FULL Sales</t>
  </si>
  <si>
    <t>Fulfillment Services</t>
  </si>
  <si>
    <t>Packaging Income</t>
  </si>
  <si>
    <t>Total for FULL Sales</t>
  </si>
  <si>
    <t>Gift Cards</t>
  </si>
  <si>
    <t>MFTR Sales</t>
  </si>
  <si>
    <t>Art Design Sales</t>
  </si>
  <si>
    <t>Blanks Sales</t>
  </si>
  <si>
    <t>Credit Card Surcharge</t>
  </si>
  <si>
    <t>DTG Printing</t>
  </si>
  <si>
    <t>Embroidery Sales</t>
  </si>
  <si>
    <t>Paper Printing Sales</t>
  </si>
  <si>
    <t>Promotional Product Sales</t>
  </si>
  <si>
    <t>Rush Charge Sales</t>
  </si>
  <si>
    <t>Sales Discounts</t>
  </si>
  <si>
    <t>Screenprinting Sales</t>
  </si>
  <si>
    <t>Setup</t>
  </si>
  <si>
    <t>Sticker Sales</t>
  </si>
  <si>
    <t>Total for MFTR Sales</t>
  </si>
  <si>
    <t>OTHER Sales</t>
  </si>
  <si>
    <t>Misc. Income</t>
  </si>
  <si>
    <t>Outside Sales Commission</t>
  </si>
  <si>
    <t>Total for OTHER Sales</t>
  </si>
  <si>
    <t>Sales of Product Income</t>
  </si>
  <si>
    <t>SHIPPING Sales</t>
  </si>
  <si>
    <t>Courier</t>
  </si>
  <si>
    <t>E-Commerce Postage</t>
  </si>
  <si>
    <t>Freight Revenue</t>
  </si>
  <si>
    <t>Fulfillment Postage</t>
  </si>
  <si>
    <t>Total for SHIPPING Sales</t>
  </si>
  <si>
    <t>Uncategorized Income</t>
  </si>
  <si>
    <t>Total for Income</t>
  </si>
  <si>
    <t>Cost of Goods Sold</t>
  </si>
  <si>
    <t>CONSIGN Costs</t>
  </si>
  <si>
    <t>3rd Party Sales Platform Costs</t>
  </si>
  <si>
    <t>Consignment Product</t>
  </si>
  <si>
    <t>Merchbar Selling Fees</t>
  </si>
  <si>
    <t>Transactional Costs</t>
  </si>
  <si>
    <t>Total for CONSIGN Costs</t>
  </si>
  <si>
    <t>MFTR Costs</t>
  </si>
  <si>
    <t>Art Design Costs</t>
  </si>
  <si>
    <t>Blanks Costs</t>
  </si>
  <si>
    <t>CD &amp; USB Manufacturing</t>
  </si>
  <si>
    <t>DTG Costs</t>
  </si>
  <si>
    <t>Embroidery Costs</t>
  </si>
  <si>
    <t>Paper Printing Costs</t>
  </si>
  <si>
    <t>Promo Products Cost</t>
  </si>
  <si>
    <t>Screenprinting Costs</t>
  </si>
  <si>
    <t>Sticker Costs</t>
  </si>
  <si>
    <t>Total for MFTR Costs</t>
  </si>
  <si>
    <t>SHIPPING Costs</t>
  </si>
  <si>
    <t>E-Comm &amp; Fulfillment Postage</t>
  </si>
  <si>
    <t>Freight Costs</t>
  </si>
  <si>
    <t>Total for SHIPPING Costs</t>
  </si>
  <si>
    <t>Total for Cost of Goods Sold</t>
  </si>
  <si>
    <t>Gross Profit</t>
  </si>
  <si>
    <t>Expenses</t>
  </si>
  <si>
    <t>Bad Debt</t>
  </si>
  <si>
    <t>Bank &amp; Credit Card Fees</t>
  </si>
  <si>
    <t>Bank Service Charges</t>
  </si>
  <si>
    <t>Fraud Loss</t>
  </si>
  <si>
    <t>QuickBooks Payments Fees</t>
  </si>
  <si>
    <t>Total for Bank &amp; Credit Card Fees</t>
  </si>
  <si>
    <t>Chargeback Fees</t>
  </si>
  <si>
    <t>Charitable Contributions</t>
  </si>
  <si>
    <t>Contract Labor</t>
  </si>
  <si>
    <t>Customer/Employee Relations</t>
  </si>
  <si>
    <t>Depreciation Expense</t>
  </si>
  <si>
    <t>Dues &amp; Subscriptions</t>
  </si>
  <si>
    <t>Equipment Rental</t>
  </si>
  <si>
    <t>Insurance</t>
  </si>
  <si>
    <t>Health</t>
  </si>
  <si>
    <t>Liability Insurance</t>
  </si>
  <si>
    <t>Van/Auto</t>
  </si>
  <si>
    <t>Workers Comp</t>
  </si>
  <si>
    <t>Total for Insurance</t>
  </si>
  <si>
    <t>Interest Expense</t>
  </si>
  <si>
    <t>Marketing</t>
  </si>
  <si>
    <t>Advertising</t>
  </si>
  <si>
    <t>Total for Marketing</t>
  </si>
  <si>
    <t>Payroll Expenses</t>
  </si>
  <si>
    <t>Taxes</t>
  </si>
  <si>
    <t>Wages</t>
  </si>
  <si>
    <t>Total for Payroll Expenses</t>
  </si>
  <si>
    <t>Printing and Reproduction</t>
  </si>
  <si>
    <t>Professional Fees</t>
  </si>
  <si>
    <t>Accounting</t>
  </si>
  <si>
    <t>Consulting</t>
  </si>
  <si>
    <t>3rd Party Consulting</t>
  </si>
  <si>
    <t>Owner Consulting</t>
  </si>
  <si>
    <t>Total for Consulting</t>
  </si>
  <si>
    <t>Graphic Design</t>
  </si>
  <si>
    <t>Legal</t>
  </si>
  <si>
    <t>Total for Professional Fees</t>
  </si>
  <si>
    <t>Purchases-1</t>
  </si>
  <si>
    <t>Rent</t>
  </si>
  <si>
    <t>Repairs</t>
  </si>
  <si>
    <t>Auto Repairs &amp; Maintenance</t>
  </si>
  <si>
    <t>Building Repairs/Maintenance</t>
  </si>
  <si>
    <t>Equipment Repairs</t>
  </si>
  <si>
    <t>Total for Repairs</t>
  </si>
  <si>
    <t>Samples</t>
  </si>
  <si>
    <t>Supplies</t>
  </si>
  <si>
    <t>Office Supplies</t>
  </si>
  <si>
    <t>Shipping Supplies</t>
  </si>
  <si>
    <t>Warehouse Supplies</t>
  </si>
  <si>
    <t>Total for Supplies</t>
  </si>
  <si>
    <t>Federal</t>
  </si>
  <si>
    <t>Penalties</t>
  </si>
  <si>
    <t>Property Taxes</t>
  </si>
  <si>
    <t>Tax Penalty</t>
  </si>
  <si>
    <t>Total for Taxes</t>
  </si>
  <si>
    <t>Travel &amp; Ent</t>
  </si>
  <si>
    <t>Auto Rental/Transportation</t>
  </si>
  <si>
    <t>Bus</t>
  </si>
  <si>
    <t>Fuel/Gas Expense</t>
  </si>
  <si>
    <t>Lodging</t>
  </si>
  <si>
    <t>Meals</t>
  </si>
  <si>
    <t>Total for Travel &amp; Ent</t>
  </si>
  <si>
    <t>Utilities &amp; Office Services</t>
  </si>
  <si>
    <t>Cleaning Service</t>
  </si>
  <si>
    <t>Gas and Electric</t>
  </si>
  <si>
    <t>Internet</t>
  </si>
  <si>
    <t>IT Services</t>
  </si>
  <si>
    <t>Pest Control</t>
  </si>
  <si>
    <t>Shredding</t>
  </si>
  <si>
    <t>Telephone</t>
  </si>
  <si>
    <t>Trash Service</t>
  </si>
  <si>
    <t>Water</t>
  </si>
  <si>
    <t>Total for Utilities &amp; Office Services</t>
  </si>
  <si>
    <t>Web Applications</t>
  </si>
  <si>
    <t>Website</t>
  </si>
  <si>
    <t>Total for Expenses</t>
  </si>
  <si>
    <t>Net Operating Income</t>
  </si>
  <si>
    <t>Other Income</t>
  </si>
  <si>
    <t>Interest Income</t>
  </si>
  <si>
    <t>Late Fee Income</t>
  </si>
  <si>
    <t>Sales Tax Early Filing</t>
  </si>
  <si>
    <t>Total for Other Income</t>
  </si>
  <si>
    <t>Net Other Income</t>
  </si>
  <si>
    <t>Net Income</t>
  </si>
  <si>
    <t>Distribution account</t>
  </si>
  <si>
    <t>2023</t>
  </si>
  <si>
    <t>2024</t>
  </si>
  <si>
    <t>2025</t>
  </si>
  <si>
    <t>Total</t>
  </si>
  <si>
    <t>Accrual Basis Thursday, February 05, 2026 09:28 PM GMT-06:00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</si>
</sst>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4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4" fillId="0" borderId="3" xfId="0" applyNumberFormat="1" applyFont="1" applyBorder="1"/>
    <xf numFmtId="178" fontId="4" fillId="0" borderId="3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8" fontId="4" fillId="0" borderId="3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177" fontId="4" fillId="0" borderId="3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E162"/>
  <sheetViews>
    <sheetView tabSelected="1" workbookViewId="0" topLeftCell="A1"/>
  </sheetViews>
  <sheetFormatPr defaultColWidth="11.255" defaultRowHeight="16" outlineLevelRow="3"/>
  <cols>
    <col min="1" max="1" width="32.375" style="44" customWidth="1"/>
    <col min="2" max="4" width="16.125" style="44" customWidth="1"/>
    <col min="5" max="5" width="17" style="44" customWidth="1"/>
  </cols>
  <sheetData>
    <row r="1" spans="1:1" ht="16">
      <c r="A1" s="33" t="s">
        <v>0</v>
      </c>
    </row>
    <row r="2" spans="1:1" ht="16">
      <c r="A2" s="34" t="s">
        <v>1</v>
      </c>
    </row>
    <row r="3" spans="1:1" ht="16">
      <c r="A3" s="35" t="s">
        <v>2</v>
      </c>
    </row>
    <row r="5" spans="1:5" ht="16">
      <c r="A5" s="46" t="s">
        <v>155</v>
      </c>
      <c r="B5" s="46" t="s">
        <v>156</v>
      </c>
      <c r="C5" s="46" t="s">
        <v>157</v>
      </c>
      <c r="D5" s="46" t="s">
        <v>158</v>
      </c>
      <c r="E5" s="46" t="s">
        <v>159</v>
      </c>
    </row>
    <row r="6" spans="1:4" ht="16">
      <c r="A6" s="37" t="s">
        <v>3</v>
      </c>
      <c r="B6" s="47"/>
      <c r="C6" s="47"/>
      <c r="D6" s="47"/>
    </row>
    <row r="7" spans="1:5" ht="16" outlineLevel="1">
      <c r="A7" s="38" t="s">
        <v>4</v>
      </c>
      <c r="B7" s="48">
        <v>261.24</v>
      </c>
      <c r="C7" s="48">
        <v>514.12</v>
      </c>
      <c r="D7" s="47"/>
      <c r="E7" s="48">
        <f>B7+C7+D7</f>
        <v>775.36</v>
      </c>
    </row>
    <row r="8" spans="1:5" ht="16" outlineLevel="2">
      <c r="A8" s="39" t="s">
        <v>5</v>
      </c>
      <c r="B8" s="48">
        <v>2877061.56</v>
      </c>
      <c r="C8" s="48">
        <v>2369134.55</v>
      </c>
      <c r="D8" s="48">
        <v>2458583.17</v>
      </c>
      <c r="E8" s="48">
        <f>B8+C8+D8</f>
        <v>7704779.279999999</v>
      </c>
    </row>
    <row r="9" spans="1:5" ht="16" outlineLevel="2">
      <c r="A9" s="39" t="s">
        <v>6</v>
      </c>
      <c r="B9" s="48">
        <v>-2628629.24</v>
      </c>
      <c r="C9" s="48">
        <v>-2065268.51</v>
      </c>
      <c r="D9" s="48">
        <v>-2026377.87</v>
      </c>
      <c r="E9" s="48">
        <f>B9+C9+D9</f>
        <v>-6720275.62</v>
      </c>
    </row>
    <row r="10" spans="1:5" ht="16" outlineLevel="2">
      <c r="A10" s="39" t="s">
        <v>7</v>
      </c>
      <c r="B10" s="48">
        <v>1133.77</v>
      </c>
      <c r="C10" s="48">
        <v>1630.34</v>
      </c>
      <c r="D10" s="48">
        <v>4738.31</v>
      </c>
      <c r="E10" s="48">
        <f>B10+C10+D10</f>
        <v>7502.42</v>
      </c>
    </row>
    <row r="11" spans="1:5" ht="16" outlineLevel="2">
      <c r="A11" s="39" t="s">
        <v>8</v>
      </c>
      <c r="B11" s="47"/>
      <c r="C11" s="47"/>
      <c r="D11" s="48">
        <v>260.6</v>
      </c>
      <c r="E11" s="48">
        <f>B11+C11+D11</f>
        <v>260.6</v>
      </c>
    </row>
    <row r="12" spans="1:5" ht="16" outlineLevel="2">
      <c r="A12" s="39" t="s">
        <v>9</v>
      </c>
      <c r="B12" s="48">
        <v>34589.63</v>
      </c>
      <c r="C12" s="48">
        <v>27476.49</v>
      </c>
      <c r="D12" s="48">
        <v>11444.73</v>
      </c>
      <c r="E12" s="48">
        <f>B12+C12+D12</f>
        <v>73510.84999999999</v>
      </c>
    </row>
    <row r="13" spans="1:5" ht="16" outlineLevel="2">
      <c r="A13" s="39" t="s">
        <v>10</v>
      </c>
      <c r="B13" s="48">
        <v>230176.11</v>
      </c>
      <c r="C13" s="48">
        <v>177088.51</v>
      </c>
      <c r="D13" s="48">
        <v>177265.41</v>
      </c>
      <c r="E13" s="48">
        <f>B13+C13+D13</f>
        <v>584530.03</v>
      </c>
    </row>
    <row r="14" spans="1:5" ht="16" outlineLevel="2">
      <c r="A14" s="39" t="s">
        <v>11</v>
      </c>
      <c r="B14" s="47"/>
      <c r="C14" s="48">
        <v>56.85</v>
      </c>
      <c r="D14" s="48">
        <v>138.38</v>
      </c>
      <c r="E14" s="48">
        <f>B14+C14+D14</f>
        <v>195.23</v>
      </c>
    </row>
    <row r="15" spans="1:5" ht="16" outlineLevel="2">
      <c r="A15" s="39" t="s">
        <v>12</v>
      </c>
      <c r="B15" s="48">
        <v>134373.55</v>
      </c>
      <c r="C15" s="48">
        <v>110567.72</v>
      </c>
      <c r="D15" s="48">
        <v>110570.95</v>
      </c>
      <c r="E15" s="48">
        <f>B15+C15+D15</f>
        <v>355512.22</v>
      </c>
    </row>
    <row r="16" spans="1:5" ht="16" outlineLevel="1">
      <c r="A16" s="40" t="s">
        <v>13</v>
      </c>
      <c r="B16" s="49">
        <f>B7+B8+B9+B10+B11+B12+B13+B14+B15</f>
        <v>648966.62</v>
      </c>
      <c r="C16" s="49">
        <f>C7+C8+C9+C10+C11+C12+C13+C14+C15</f>
        <v>621200.07</v>
      </c>
      <c r="D16" s="49">
        <f>D7+D8+D9+D10+D11+D12+D13+D14+D15</f>
        <v>736623.6799999997</v>
      </c>
      <c r="E16" s="51">
        <f>B16+C16+D16</f>
        <v>2006790.3699999996</v>
      </c>
    </row>
    <row r="17" spans="1:5" ht="16" outlineLevel="1">
      <c r="A17" s="38" t="s">
        <v>14</v>
      </c>
      <c r="B17" s="47"/>
      <c r="C17" s="47"/>
      <c r="D17" s="47"/>
      <c r="E17" s="47"/>
    </row>
    <row r="18" spans="1:5" ht="16" outlineLevel="2">
      <c r="A18" s="39" t="s">
        <v>15</v>
      </c>
      <c r="B18" s="48">
        <v>304294.49</v>
      </c>
      <c r="C18" s="48">
        <v>263226.13</v>
      </c>
      <c r="D18" s="48">
        <v>201353.38</v>
      </c>
      <c r="E18" s="48">
        <f>B18+C18+D18</f>
        <v>768874.0</v>
      </c>
    </row>
    <row r="19" spans="1:5" ht="16" outlineLevel="2">
      <c r="A19" s="39" t="s">
        <v>16</v>
      </c>
      <c r="B19" s="48">
        <v>20509.02</v>
      </c>
      <c r="C19" s="48">
        <v>37069.87</v>
      </c>
      <c r="D19" s="48">
        <v>113265.99</v>
      </c>
      <c r="E19" s="48">
        <f>B19+C19+D19</f>
        <v>170844.88</v>
      </c>
    </row>
    <row r="20" spans="1:5" ht="16" outlineLevel="1">
      <c r="A20" s="40" t="s">
        <v>17</v>
      </c>
      <c r="B20" s="49">
        <f>B17+B18+B19</f>
        <v>324803.51</v>
      </c>
      <c r="C20" s="49">
        <f>C17+C18+C19</f>
        <v>300296.0</v>
      </c>
      <c r="D20" s="49">
        <f>D17+D18+D19</f>
        <v>314619.37</v>
      </c>
      <c r="E20" s="51">
        <f>B20+C20+D20</f>
        <v>939718.88</v>
      </c>
    </row>
    <row r="21" spans="1:5" ht="16" outlineLevel="1">
      <c r="A21" s="38" t="s">
        <v>18</v>
      </c>
      <c r="B21" s="48">
        <v>904.47</v>
      </c>
      <c r="C21" s="47"/>
      <c r="D21" s="48">
        <v>427.7</v>
      </c>
      <c r="E21" s="48">
        <f>B21+C21+D21</f>
        <v>1332.17</v>
      </c>
    </row>
    <row r="22" spans="1:5" ht="16" outlineLevel="1">
      <c r="A22" s="38" t="s">
        <v>19</v>
      </c>
      <c r="B22" s="48">
        <v>626.0</v>
      </c>
      <c r="C22" s="47"/>
      <c r="D22" s="48">
        <v>-26.0</v>
      </c>
      <c r="E22" s="48">
        <f>B22+C22+D22</f>
        <v>600.0</v>
      </c>
    </row>
    <row r="23" spans="1:5" ht="16" outlineLevel="2">
      <c r="A23" s="39" t="s">
        <v>20</v>
      </c>
      <c r="B23" s="48">
        <v>2548.13</v>
      </c>
      <c r="C23" s="48">
        <v>5342.97</v>
      </c>
      <c r="D23" s="48">
        <v>6083.42</v>
      </c>
      <c r="E23" s="48">
        <f>B23+C23+D23</f>
        <v>13974.52</v>
      </c>
    </row>
    <row r="24" spans="1:5" ht="16" outlineLevel="2">
      <c r="A24" s="39" t="s">
        <v>21</v>
      </c>
      <c r="B24" s="48">
        <v>1059016.62</v>
      </c>
      <c r="C24" s="48">
        <v>1065341.8</v>
      </c>
      <c r="D24" s="48">
        <v>1136793.68</v>
      </c>
      <c r="E24" s="48">
        <f>B24+C24+D24</f>
        <v>3261152.0999999996</v>
      </c>
    </row>
    <row r="25" spans="1:5" ht="16" outlineLevel="2">
      <c r="A25" s="39" t="s">
        <v>22</v>
      </c>
      <c r="B25" s="48">
        <v>17146.58</v>
      </c>
      <c r="C25" s="48">
        <v>18011.18</v>
      </c>
      <c r="D25" s="48">
        <v>19427.83</v>
      </c>
      <c r="E25" s="48">
        <f>B25+C25+D25</f>
        <v>54585.590000000004</v>
      </c>
    </row>
    <row r="26" spans="1:5" ht="16" outlineLevel="2">
      <c r="A26" s="39" t="s">
        <v>23</v>
      </c>
      <c r="B26" s="48">
        <v>15765.13</v>
      </c>
      <c r="C26" s="48">
        <v>42439.91</v>
      </c>
      <c r="D26" s="48">
        <v>42117.13</v>
      </c>
      <c r="E26" s="48">
        <f>B26+C26+D26</f>
        <v>100322.17</v>
      </c>
    </row>
    <row r="27" spans="1:5" ht="16" outlineLevel="2">
      <c r="A27" s="39" t="s">
        <v>24</v>
      </c>
      <c r="B27" s="48">
        <v>95185.15</v>
      </c>
      <c r="C27" s="48">
        <v>74985.04</v>
      </c>
      <c r="D27" s="48">
        <v>57197.14</v>
      </c>
      <c r="E27" s="48">
        <f>B27+C27+D27</f>
        <v>227367.33000000002</v>
      </c>
    </row>
    <row r="28" spans="1:5" ht="16" outlineLevel="2">
      <c r="A28" s="39" t="s">
        <v>25</v>
      </c>
      <c r="B28" s="48">
        <v>69965.54</v>
      </c>
      <c r="C28" s="48">
        <v>52602.76</v>
      </c>
      <c r="D28" s="48">
        <v>124419.64</v>
      </c>
      <c r="E28" s="48">
        <f>B28+C28+D28</f>
        <v>246987.94</v>
      </c>
    </row>
    <row r="29" spans="1:5" ht="16" outlineLevel="2">
      <c r="A29" s="39" t="s">
        <v>26</v>
      </c>
      <c r="B29" s="48">
        <v>490776.24</v>
      </c>
      <c r="C29" s="48">
        <v>328994.36</v>
      </c>
      <c r="D29" s="48">
        <v>283540.94</v>
      </c>
      <c r="E29" s="48">
        <f>B29+C29+D29</f>
        <v>1103311.54</v>
      </c>
    </row>
    <row r="30" spans="1:5" ht="16" outlineLevel="2">
      <c r="A30" s="39" t="s">
        <v>27</v>
      </c>
      <c r="B30" s="48">
        <v>274.0</v>
      </c>
      <c r="C30" s="48">
        <v>695.04</v>
      </c>
      <c r="D30" s="48">
        <v>2439.0</v>
      </c>
      <c r="E30" s="48">
        <f>B30+C30+D30</f>
        <v>3408.04</v>
      </c>
    </row>
    <row r="31" spans="1:5" ht="16" outlineLevel="2">
      <c r="A31" s="39" t="s">
        <v>28</v>
      </c>
      <c r="B31" s="48">
        <v>-120874.9</v>
      </c>
      <c r="C31" s="48">
        <v>-166490.58</v>
      </c>
      <c r="D31" s="48">
        <v>-203177.71</v>
      </c>
      <c r="E31" s="48">
        <f>B31+C31+D31</f>
        <v>-490543.18999999994</v>
      </c>
    </row>
    <row r="32" spans="1:5" ht="16" outlineLevel="2">
      <c r="A32" s="39" t="s">
        <v>29</v>
      </c>
      <c r="B32" s="48">
        <v>391032.99</v>
      </c>
      <c r="C32" s="48">
        <v>455696.49</v>
      </c>
      <c r="D32" s="48">
        <v>446127.79</v>
      </c>
      <c r="E32" s="48">
        <f>B32+C32+D32</f>
        <v>1292857.27</v>
      </c>
    </row>
    <row r="33" spans="1:5" ht="16" outlineLevel="2">
      <c r="A33" s="39" t="s">
        <v>30</v>
      </c>
      <c r="B33" s="48">
        <v>1975.0</v>
      </c>
      <c r="C33" s="48">
        <v>2125.0</v>
      </c>
      <c r="D33" s="48">
        <v>4052.0</v>
      </c>
      <c r="E33" s="48">
        <f>B33+C33+D33</f>
        <v>8152.0</v>
      </c>
    </row>
    <row r="34" spans="1:5" ht="16" outlineLevel="2">
      <c r="A34" s="39" t="s">
        <v>31</v>
      </c>
      <c r="B34" s="48">
        <v>19066.33</v>
      </c>
      <c r="C34" s="48">
        <v>23501.7</v>
      </c>
      <c r="D34" s="48">
        <v>37623.6</v>
      </c>
      <c r="E34" s="48">
        <f>B34+C34+D34</f>
        <v>80191.63</v>
      </c>
    </row>
    <row r="35" spans="1:5" ht="16" outlineLevel="1">
      <c r="A35" s="40" t="s">
        <v>32</v>
      </c>
      <c r="B35" s="49">
        <f>B22+B23+B24+B25+B26+B27+B28+B29+B30+B31+B32+B33+B34</f>
        <v>2042502.81</v>
      </c>
      <c r="C35" s="49">
        <f>C22+C23+C24+C25+C26+C27+C28+C29+C30+C31+C32+C33+C34</f>
        <v>1903245.67</v>
      </c>
      <c r="D35" s="49">
        <f>D22+D23+D24+D25+D26+D27+D28+D29+D30+D31+D32+D33+D34</f>
        <v>1956618.4599999997</v>
      </c>
      <c r="E35" s="51">
        <f>B35+C35+D35</f>
        <v>5902366.9399999995</v>
      </c>
    </row>
    <row r="36" spans="1:5" ht="16" outlineLevel="1">
      <c r="A36" s="38" t="s">
        <v>33</v>
      </c>
      <c r="B36" s="47"/>
      <c r="C36" s="47"/>
      <c r="D36" s="47"/>
      <c r="E36" s="47"/>
    </row>
    <row r="37" spans="1:5" ht="16" outlineLevel="2">
      <c r="A37" s="39" t="s">
        <v>34</v>
      </c>
      <c r="B37" s="48">
        <v>585.05</v>
      </c>
      <c r="C37" s="48">
        <v>78.62</v>
      </c>
      <c r="D37" s="48">
        <v>6333.8</v>
      </c>
      <c r="E37" s="48">
        <f>B37+C37+D37</f>
        <v>6997.47</v>
      </c>
    </row>
    <row r="38" spans="1:5" ht="16" outlineLevel="2">
      <c r="A38" s="39" t="s">
        <v>35</v>
      </c>
      <c r="B38" s="48">
        <v>57730.34</v>
      </c>
      <c r="C38" s="48">
        <v>59333.5</v>
      </c>
      <c r="D38" s="48">
        <v>68035.6</v>
      </c>
      <c r="E38" s="48">
        <f>B38+C38+D38</f>
        <v>185099.44</v>
      </c>
    </row>
    <row r="39" spans="1:5" ht="16" outlineLevel="1">
      <c r="A39" s="40" t="s">
        <v>36</v>
      </c>
      <c r="B39" s="49">
        <f>B36+B37+B38</f>
        <v>58315.39</v>
      </c>
      <c r="C39" s="49">
        <f>C36+C37+C38</f>
        <v>59412.12</v>
      </c>
      <c r="D39" s="49">
        <f>D36+D37+D38</f>
        <v>74369.40000000001</v>
      </c>
      <c r="E39" s="51">
        <f>B39+C39+D39</f>
        <v>192096.91000000003</v>
      </c>
    </row>
    <row r="40" spans="1:5" ht="16" outlineLevel="1">
      <c r="A40" s="38" t="s">
        <v>37</v>
      </c>
      <c r="B40" s="47"/>
      <c r="C40" s="48">
        <v>132.55</v>
      </c>
      <c r="D40" s="47"/>
      <c r="E40" s="48">
        <f>B40+C40+D40</f>
        <v>132.55</v>
      </c>
    </row>
    <row r="41" spans="1:5" ht="16" outlineLevel="1">
      <c r="A41" s="38" t="s">
        <v>38</v>
      </c>
      <c r="B41" s="48">
        <v>0</v>
      </c>
      <c r="C41" s="48">
        <v>0</v>
      </c>
      <c r="D41" s="48">
        <v>0</v>
      </c>
      <c r="E41" s="48">
        <f>B41+C41+D41</f>
        <v>0.0</v>
      </c>
    </row>
    <row r="42" spans="1:5" ht="16" outlineLevel="2">
      <c r="A42" s="39" t="s">
        <v>39</v>
      </c>
      <c r="B42" s="48">
        <v>1407.15</v>
      </c>
      <c r="C42" s="48">
        <v>730.6</v>
      </c>
      <c r="D42" s="48">
        <v>939.7</v>
      </c>
      <c r="E42" s="48">
        <f>B42+C42+D42</f>
        <v>3077.45</v>
      </c>
    </row>
    <row r="43" spans="1:5" ht="16" outlineLevel="2">
      <c r="A43" s="39" t="s">
        <v>40</v>
      </c>
      <c r="B43" s="48">
        <v>407843.66</v>
      </c>
      <c r="C43" s="48">
        <v>300530.64</v>
      </c>
      <c r="D43" s="48">
        <v>299154.76</v>
      </c>
      <c r="E43" s="48">
        <f>B43+C43+D43</f>
        <v>1007529.06</v>
      </c>
    </row>
    <row r="44" spans="1:5" ht="16" outlineLevel="2">
      <c r="A44" s="39" t="s">
        <v>41</v>
      </c>
      <c r="B44" s="48">
        <v>308941.0</v>
      </c>
      <c r="C44" s="48">
        <v>190473.77</v>
      </c>
      <c r="D44" s="48">
        <v>200612.12</v>
      </c>
      <c r="E44" s="48">
        <f>B44+C44+D44</f>
        <v>700026.89</v>
      </c>
    </row>
    <row r="45" spans="1:5" ht="16" outlineLevel="2">
      <c r="A45" s="39" t="s">
        <v>42</v>
      </c>
      <c r="B45" s="48">
        <v>103678.37</v>
      </c>
      <c r="C45" s="48">
        <v>210591.41</v>
      </c>
      <c r="D45" s="48">
        <v>417638.07</v>
      </c>
      <c r="E45" s="48">
        <f>B45+C45+D45</f>
        <v>731907.8500000001</v>
      </c>
    </row>
    <row r="46" spans="1:5" ht="16" outlineLevel="1">
      <c r="A46" s="40" t="s">
        <v>43</v>
      </c>
      <c r="B46" s="49">
        <f>B41+B42+B43+B44+B45</f>
        <v>821870.18</v>
      </c>
      <c r="C46" s="49">
        <f>C41+C42+C43+C44+C45</f>
        <v>702326.42</v>
      </c>
      <c r="D46" s="49">
        <f>D41+D42+D43+D44+D45</f>
        <v>918344.65</v>
      </c>
      <c r="E46" s="51">
        <f>B46+C46+D46</f>
        <v>2442541.25</v>
      </c>
    </row>
    <row r="47" spans="1:5" ht="16" outlineLevel="1">
      <c r="A47" s="38" t="s">
        <v>44</v>
      </c>
      <c r="B47" s="47"/>
      <c r="C47" s="48">
        <v>0</v>
      </c>
      <c r="D47" s="48">
        <v>39080.72</v>
      </c>
      <c r="E47" s="48">
        <f>B47+C47+D47</f>
        <v>39080.72</v>
      </c>
    </row>
    <row r="48" spans="1:5" ht="16">
      <c r="A48" s="41" t="s">
        <v>45</v>
      </c>
      <c r="B48" s="49">
        <f>B16+B20+B21+B35+B39+B40+B46+B47</f>
        <v>3897362.9800000004</v>
      </c>
      <c r="C48" s="49">
        <f>C16+C20+C21+C35+C39+C40+C46+C47</f>
        <v>3586612.8299999996</v>
      </c>
      <c r="D48" s="49">
        <f>D16+D20+D21+D35+D39+D40+D46+D47</f>
        <v>4040083.9799999995</v>
      </c>
      <c r="E48" s="51">
        <f>B48+C48+D48</f>
        <v>1.152405979E7</v>
      </c>
    </row>
    <row r="49" spans="1:4" ht="16">
      <c r="A49" s="37" t="s">
        <v>46</v>
      </c>
      <c r="B49" s="47"/>
      <c r="C49" s="47"/>
      <c r="D49" s="47"/>
    </row>
    <row r="50" spans="1:5" ht="16" outlineLevel="1">
      <c r="A50" s="38" t="s">
        <v>47</v>
      </c>
      <c r="B50" s="47"/>
      <c r="C50" s="47"/>
      <c r="D50" s="47"/>
      <c r="E50" s="47"/>
    </row>
    <row r="51" spans="1:5" ht="16" outlineLevel="2">
      <c r="A51" s="39" t="s">
        <v>48</v>
      </c>
      <c r="B51" s="47"/>
      <c r="C51" s="47"/>
      <c r="D51" s="48">
        <v>23.29</v>
      </c>
      <c r="E51" s="48">
        <f>B51+C51+D51</f>
        <v>23.29</v>
      </c>
    </row>
    <row r="52" spans="1:5" ht="16" outlineLevel="2">
      <c r="A52" s="39" t="s">
        <v>49</v>
      </c>
      <c r="B52" s="48">
        <v>0</v>
      </c>
      <c r="C52" s="48">
        <v>643.95</v>
      </c>
      <c r="D52" s="48">
        <v>3368.09</v>
      </c>
      <c r="E52" s="48">
        <f>B52+C52+D52</f>
        <v>4012.04</v>
      </c>
    </row>
    <row r="53" spans="1:5" ht="16" outlineLevel="2">
      <c r="A53" s="39" t="s">
        <v>50</v>
      </c>
      <c r="B53" s="48">
        <v>6695.54</v>
      </c>
      <c r="C53" s="48">
        <v>1695.93</v>
      </c>
      <c r="D53" s="47"/>
      <c r="E53" s="48">
        <f>B53+C53+D53</f>
        <v>8391.47</v>
      </c>
    </row>
    <row r="54" spans="1:5" ht="16" outlineLevel="2">
      <c r="A54" s="39" t="s">
        <v>51</v>
      </c>
      <c r="B54" s="48">
        <v>60721.82</v>
      </c>
      <c r="C54" s="48">
        <v>55842.89</v>
      </c>
      <c r="D54" s="48">
        <v>64757.95</v>
      </c>
      <c r="E54" s="48">
        <f>B54+C54+D54</f>
        <v>181322.65999999997</v>
      </c>
    </row>
    <row r="55" spans="1:5" ht="16" outlineLevel="1">
      <c r="A55" s="40" t="s">
        <v>52</v>
      </c>
      <c r="B55" s="49">
        <f>B50+B51+B52+B53+B54</f>
        <v>67417.36</v>
      </c>
      <c r="C55" s="49">
        <f>C50+C51+C52+C53+C54</f>
        <v>58182.77</v>
      </c>
      <c r="D55" s="49">
        <f>D50+D51+D52+D53+D54</f>
        <v>68149.33</v>
      </c>
      <c r="E55" s="51">
        <f>B55+C55+D55</f>
        <v>193749.46000000002</v>
      </c>
    </row>
    <row r="56" spans="1:5" ht="16" outlineLevel="1">
      <c r="A56" s="38" t="s">
        <v>53</v>
      </c>
      <c r="B56" s="47"/>
      <c r="C56" s="47"/>
      <c r="D56" s="47"/>
      <c r="E56" s="47"/>
    </row>
    <row r="57" spans="1:5" ht="16" outlineLevel="2">
      <c r="A57" s="39" t="s">
        <v>54</v>
      </c>
      <c r="B57" s="48">
        <v>975.0</v>
      </c>
      <c r="C57" s="48">
        <v>790.16</v>
      </c>
      <c r="D57" s="48">
        <v>50.0</v>
      </c>
      <c r="E57" s="48">
        <f>B57+C57+D57</f>
        <v>1815.1599999999999</v>
      </c>
    </row>
    <row r="58" spans="1:5" ht="16" outlineLevel="2">
      <c r="A58" s="39" t="s">
        <v>55</v>
      </c>
      <c r="B58" s="48">
        <v>623910.73</v>
      </c>
      <c r="C58" s="48">
        <v>585299.41</v>
      </c>
      <c r="D58" s="48">
        <v>610638.62</v>
      </c>
      <c r="E58" s="48">
        <f>B58+C58+D58</f>
        <v>1819848.7600000002</v>
      </c>
    </row>
    <row r="59" spans="1:5" ht="16" outlineLevel="2">
      <c r="A59" s="39" t="s">
        <v>56</v>
      </c>
      <c r="B59" s="48">
        <v>3440.0</v>
      </c>
      <c r="C59" s="47"/>
      <c r="D59" s="47"/>
      <c r="E59" s="48">
        <f>B59+C59+D59</f>
        <v>3440.0</v>
      </c>
    </row>
    <row r="60" spans="1:5" ht="16" outlineLevel="2">
      <c r="A60" s="39" t="s">
        <v>57</v>
      </c>
      <c r="B60" s="48">
        <v>14110.52</v>
      </c>
      <c r="C60" s="48">
        <v>30338.59</v>
      </c>
      <c r="D60" s="48">
        <v>31400.5</v>
      </c>
      <c r="E60" s="48">
        <f>B60+C60+D60</f>
        <v>75849.61</v>
      </c>
    </row>
    <row r="61" spans="1:5" ht="16" outlineLevel="2">
      <c r="A61" s="39" t="s">
        <v>58</v>
      </c>
      <c r="B61" s="48">
        <v>62207.15</v>
      </c>
      <c r="C61" s="48">
        <v>42495.0</v>
      </c>
      <c r="D61" s="48">
        <v>30836.25</v>
      </c>
      <c r="E61" s="48">
        <f>B61+C61+D61</f>
        <v>135538.4</v>
      </c>
    </row>
    <row r="62" spans="1:5" ht="16" outlineLevel="2">
      <c r="A62" s="39" t="s">
        <v>59</v>
      </c>
      <c r="B62" s="48">
        <v>50348.31</v>
      </c>
      <c r="C62" s="48">
        <v>34936.13</v>
      </c>
      <c r="D62" s="48">
        <v>94022.6</v>
      </c>
      <c r="E62" s="48">
        <f>B62+C62+D62</f>
        <v>179307.04</v>
      </c>
    </row>
    <row r="63" spans="1:5" ht="16" outlineLevel="2">
      <c r="A63" s="39" t="s">
        <v>60</v>
      </c>
      <c r="B63" s="48">
        <v>313309.25</v>
      </c>
      <c r="C63" s="48">
        <v>214565.51</v>
      </c>
      <c r="D63" s="48">
        <v>187429.91</v>
      </c>
      <c r="E63" s="48">
        <f>B63+C63+D63</f>
        <v>715304.67</v>
      </c>
    </row>
    <row r="64" spans="1:5" ht="16" outlineLevel="2">
      <c r="A64" s="39" t="s">
        <v>61</v>
      </c>
      <c r="B64" s="48">
        <v>208444.27</v>
      </c>
      <c r="C64" s="48">
        <v>230954.54</v>
      </c>
      <c r="D64" s="48">
        <v>226370.2</v>
      </c>
      <c r="E64" s="48">
        <f>B64+C64+D64</f>
        <v>665769.01</v>
      </c>
    </row>
    <row r="65" spans="1:5" ht="16" outlineLevel="2">
      <c r="A65" s="39" t="s">
        <v>62</v>
      </c>
      <c r="B65" s="48">
        <v>10005.84</v>
      </c>
      <c r="C65" s="48">
        <v>15006.8</v>
      </c>
      <c r="D65" s="48">
        <v>18744.4</v>
      </c>
      <c r="E65" s="48">
        <f>B65+C65+D65</f>
        <v>43757.04</v>
      </c>
    </row>
    <row r="66" spans="1:5" ht="16" outlineLevel="1">
      <c r="A66" s="40" t="s">
        <v>63</v>
      </c>
      <c r="B66" s="49">
        <f>B56+B57+B58+B59+B60+B61+B62+B63+B64+B65</f>
        <v>1286751.07</v>
      </c>
      <c r="C66" s="49">
        <f>C56+C57+C58+C59+C60+C61+C62+C63+C64+C65</f>
        <v>1154386.1400000001</v>
      </c>
      <c r="D66" s="49">
        <f>D56+D57+D58+D59+D60+D61+D62+D63+D64+D65</f>
        <v>1199492.48</v>
      </c>
      <c r="E66" s="51">
        <f>B66+C66+D66</f>
        <v>3640629.69</v>
      </c>
    </row>
    <row r="67" spans="1:5" ht="16" outlineLevel="1">
      <c r="A67" s="38" t="s">
        <v>64</v>
      </c>
      <c r="B67" s="47"/>
      <c r="C67" s="47"/>
      <c r="D67" s="47"/>
      <c r="E67" s="47"/>
    </row>
    <row r="68" spans="1:5" ht="16" outlineLevel="2">
      <c r="A68" s="39" t="s">
        <v>65</v>
      </c>
      <c r="B68" s="48">
        <v>594797.6</v>
      </c>
      <c r="C68" s="48">
        <v>461675.64</v>
      </c>
      <c r="D68" s="48">
        <v>603783.53</v>
      </c>
      <c r="E68" s="48">
        <f>B68+C68+D68</f>
        <v>1660256.77</v>
      </c>
    </row>
    <row r="69" spans="1:5" ht="16" outlineLevel="2">
      <c r="A69" s="39" t="s">
        <v>66</v>
      </c>
      <c r="B69" s="48">
        <v>134395.96</v>
      </c>
      <c r="C69" s="48">
        <v>125783.48</v>
      </c>
      <c r="D69" s="48">
        <v>138026.08</v>
      </c>
      <c r="E69" s="48">
        <f>B69+C69+D69</f>
        <v>398205.52</v>
      </c>
    </row>
    <row r="70" spans="1:5" ht="16" outlineLevel="1">
      <c r="A70" s="40" t="s">
        <v>67</v>
      </c>
      <c r="B70" s="49">
        <f>B67+B68+B69</f>
        <v>729193.5599999999</v>
      </c>
      <c r="C70" s="49">
        <f>C67+C68+C69</f>
        <v>587459.12</v>
      </c>
      <c r="D70" s="49">
        <f>D67+D68+D69</f>
        <v>741809.61</v>
      </c>
      <c r="E70" s="51">
        <f>B70+C70+D70</f>
        <v>2058462.29</v>
      </c>
    </row>
    <row r="71" spans="1:5" ht="16">
      <c r="A71" s="41" t="s">
        <v>68</v>
      </c>
      <c r="B71" s="49">
        <f>B55+B66+B70</f>
        <v>2083361.9900000002</v>
      </c>
      <c r="C71" s="49">
        <f>C55+C66+C70</f>
        <v>1800028.0300000003</v>
      </c>
      <c r="D71" s="49">
        <f>D55+D66+D70</f>
        <v>2009451.42</v>
      </c>
      <c r="E71" s="51">
        <f>B71+C71+D71</f>
        <v>5892841.44</v>
      </c>
    </row>
    <row r="72" spans="1:5" ht="16">
      <c r="A72" s="41" t="s">
        <v>69</v>
      </c>
      <c r="B72" s="49">
        <f>B48-B71</f>
        <v>1814000.9900000002</v>
      </c>
      <c r="C72" s="49">
        <f>C48-C71</f>
        <v>1786584.7999999993</v>
      </c>
      <c r="D72" s="49">
        <f>D48-D71</f>
        <v>2030632.5599999996</v>
      </c>
      <c r="E72" s="51">
        <f>B72+C72+D72</f>
        <v>5631218.35</v>
      </c>
    </row>
    <row r="73" spans="1:4" ht="16">
      <c r="A73" s="37" t="s">
        <v>70</v>
      </c>
      <c r="B73" s="47"/>
      <c r="C73" s="47"/>
      <c r="D73" s="47"/>
    </row>
    <row r="74" spans="1:5" ht="16" outlineLevel="1">
      <c r="A74" s="38" t="s">
        <v>71</v>
      </c>
      <c r="B74" s="48">
        <v>215.64</v>
      </c>
      <c r="C74" s="48">
        <v>5555.35</v>
      </c>
      <c r="D74" s="48">
        <v>577.83</v>
      </c>
      <c r="E74" s="48">
        <f>B74+C74+D74</f>
        <v>6348.820000000001</v>
      </c>
    </row>
    <row r="75" spans="1:5" ht="16" outlineLevel="1">
      <c r="A75" s="38" t="s">
        <v>72</v>
      </c>
      <c r="B75" s="48">
        <v>62731.61</v>
      </c>
      <c r="C75" s="48">
        <v>40590.73</v>
      </c>
      <c r="D75" s="48">
        <v>34553.09</v>
      </c>
      <c r="E75" s="48">
        <f>B75+C75+D75</f>
        <v>137875.43</v>
      </c>
    </row>
    <row r="76" spans="1:5" ht="16" outlineLevel="2">
      <c r="A76" s="39" t="s">
        <v>73</v>
      </c>
      <c r="B76" s="48">
        <v>663.95</v>
      </c>
      <c r="C76" s="48">
        <v>634.5</v>
      </c>
      <c r="D76" s="48">
        <v>372.0</v>
      </c>
      <c r="E76" s="48">
        <f>B76+C76+D76</f>
        <v>1670.45</v>
      </c>
    </row>
    <row r="77" spans="1:5" ht="16" outlineLevel="2">
      <c r="A77" s="39" t="s">
        <v>74</v>
      </c>
      <c r="B77" s="48">
        <v>1672.75</v>
      </c>
      <c r="C77" s="47"/>
      <c r="D77" s="47"/>
      <c r="E77" s="48">
        <f>B77+C77+D77</f>
        <v>1672.75</v>
      </c>
    </row>
    <row r="78" spans="1:5" ht="16" outlineLevel="2">
      <c r="A78" s="39" t="s">
        <v>75</v>
      </c>
      <c r="B78" s="48">
        <v>24738.21</v>
      </c>
      <c r="C78" s="48">
        <v>20501.17</v>
      </c>
      <c r="D78" s="48">
        <v>19392.92</v>
      </c>
      <c r="E78" s="48">
        <f>B78+C78+D78</f>
        <v>64632.299999999996</v>
      </c>
    </row>
    <row r="79" spans="1:5" ht="16" outlineLevel="1">
      <c r="A79" s="40" t="s">
        <v>76</v>
      </c>
      <c r="B79" s="49">
        <f>B75+B76+B77+B78</f>
        <v>89806.51999999999</v>
      </c>
      <c r="C79" s="49">
        <f>C75+C76+C77+C78</f>
        <v>61726.4</v>
      </c>
      <c r="D79" s="49">
        <f>D75+D76+D77+D78</f>
        <v>54318.009999999995</v>
      </c>
      <c r="E79" s="51">
        <f>B79+C79+D79</f>
        <v>205850.93</v>
      </c>
    </row>
    <row r="80" spans="1:5" ht="16" outlineLevel="1">
      <c r="A80" s="38" t="s">
        <v>77</v>
      </c>
      <c r="B80" s="47"/>
      <c r="C80" s="47"/>
      <c r="D80" s="48">
        <v>311.17</v>
      </c>
      <c r="E80" s="48">
        <f>B80+C80+D80</f>
        <v>311.17</v>
      </c>
    </row>
    <row r="81" spans="1:5" ht="16" outlineLevel="1">
      <c r="A81" s="38" t="s">
        <v>78</v>
      </c>
      <c r="B81" s="48">
        <v>1241.9</v>
      </c>
      <c r="C81" s="48">
        <v>1665.82</v>
      </c>
      <c r="D81" s="47"/>
      <c r="E81" s="48">
        <f>B81+C81+D81</f>
        <v>2907.7200000000003</v>
      </c>
    </row>
    <row r="82" spans="1:5" ht="16" outlineLevel="1">
      <c r="A82" s="38" t="s">
        <v>79</v>
      </c>
      <c r="B82" s="48">
        <v>4690.83</v>
      </c>
      <c r="C82" s="47"/>
      <c r="D82" s="48">
        <v>30382.01</v>
      </c>
      <c r="E82" s="48">
        <f>B82+C82+D82</f>
        <v>35072.84</v>
      </c>
    </row>
    <row r="83" spans="1:5" ht="16" outlineLevel="1">
      <c r="A83" s="38" t="s">
        <v>80</v>
      </c>
      <c r="B83" s="48">
        <v>3557.3</v>
      </c>
      <c r="C83" s="48">
        <v>1121.68</v>
      </c>
      <c r="D83" s="48">
        <v>1820.64</v>
      </c>
      <c r="E83" s="48">
        <f>B83+C83+D83</f>
        <v>6499.620000000001</v>
      </c>
    </row>
    <row r="84" spans="1:5" ht="16" outlineLevel="1">
      <c r="A84" s="38" t="s">
        <v>81</v>
      </c>
      <c r="B84" s="48">
        <v>446.0</v>
      </c>
      <c r="C84" s="47"/>
      <c r="D84" s="47"/>
      <c r="E84" s="48">
        <f>B84+C84+D84</f>
        <v>446.0</v>
      </c>
    </row>
    <row r="85" spans="1:5" ht="16" outlineLevel="1">
      <c r="A85" s="38" t="s">
        <v>82</v>
      </c>
      <c r="B85" s="48">
        <v>1156.23</v>
      </c>
      <c r="C85" s="48">
        <v>956.18</v>
      </c>
      <c r="D85" s="48">
        <v>4081.21</v>
      </c>
      <c r="E85" s="48">
        <f>B85+C85+D85</f>
        <v>6193.62</v>
      </c>
    </row>
    <row r="86" spans="1:5" ht="16" outlineLevel="1">
      <c r="A86" s="38" t="s">
        <v>83</v>
      </c>
      <c r="B86" s="48">
        <v>20513.27</v>
      </c>
      <c r="C86" s="47"/>
      <c r="D86" s="47"/>
      <c r="E86" s="48">
        <f>B86+C86+D86</f>
        <v>20513.27</v>
      </c>
    </row>
    <row r="87" spans="1:5" ht="16" outlineLevel="1">
      <c r="A87" s="38" t="s">
        <v>84</v>
      </c>
      <c r="B87" s="47"/>
      <c r="C87" s="47"/>
      <c r="D87" s="47"/>
      <c r="E87" s="47"/>
    </row>
    <row r="88" spans="1:5" ht="16" outlineLevel="2">
      <c r="A88" s="39" t="s">
        <v>85</v>
      </c>
      <c r="B88" s="48">
        <v>34384.83</v>
      </c>
      <c r="C88" s="48">
        <v>55305.55</v>
      </c>
      <c r="D88" s="48">
        <v>51285.1</v>
      </c>
      <c r="E88" s="48">
        <f>B88+C88+D88</f>
        <v>140975.48</v>
      </c>
    </row>
    <row r="89" spans="1:5" ht="16" outlineLevel="2">
      <c r="A89" s="39" t="s">
        <v>86</v>
      </c>
      <c r="B89" s="48">
        <v>15450.83</v>
      </c>
      <c r="C89" s="48">
        <v>20439.76</v>
      </c>
      <c r="D89" s="48">
        <v>21979.26</v>
      </c>
      <c r="E89" s="48">
        <f>B89+C89+D89</f>
        <v>57869.84999999999</v>
      </c>
    </row>
    <row r="90" spans="1:5" ht="16" outlineLevel="2">
      <c r="A90" s="39" t="s">
        <v>87</v>
      </c>
      <c r="B90" s="48">
        <v>2516.78</v>
      </c>
      <c r="C90" s="48">
        <v>2030.0</v>
      </c>
      <c r="D90" s="48">
        <v>2621.0</v>
      </c>
      <c r="E90" s="48">
        <f>B90+C90+D90</f>
        <v>7167.780000000001</v>
      </c>
    </row>
    <row r="91" spans="1:5" ht="16" outlineLevel="2">
      <c r="A91" s="39" t="s">
        <v>88</v>
      </c>
      <c r="B91" s="48">
        <v>4011.0</v>
      </c>
      <c r="C91" s="48">
        <v>3024.0</v>
      </c>
      <c r="D91" s="48">
        <v>3008.0</v>
      </c>
      <c r="E91" s="48">
        <f>B91+C91+D91</f>
        <v>10043.0</v>
      </c>
    </row>
    <row r="92" spans="1:5" ht="16" outlineLevel="1">
      <c r="A92" s="40" t="s">
        <v>89</v>
      </c>
      <c r="B92" s="49">
        <f>B87+B88+B89+B90+B91</f>
        <v>56363.44</v>
      </c>
      <c r="C92" s="49">
        <f>C87+C88+C89+C90+C91</f>
        <v>80799.31</v>
      </c>
      <c r="D92" s="49">
        <f>D87+D88+D89+D90+D91</f>
        <v>78893.36</v>
      </c>
      <c r="E92" s="51">
        <f>B92+C92+D92</f>
        <v>216056.11</v>
      </c>
    </row>
    <row r="93" spans="1:5" ht="16" outlineLevel="1">
      <c r="A93" s="38" t="s">
        <v>90</v>
      </c>
      <c r="B93" s="48">
        <v>20022.36</v>
      </c>
      <c r="C93" s="48">
        <v>6826.76</v>
      </c>
      <c r="D93" s="48">
        <v>3640.03</v>
      </c>
      <c r="E93" s="48">
        <f>B93+C93+D93</f>
        <v>30489.15</v>
      </c>
    </row>
    <row r="94" spans="1:5" ht="16" outlineLevel="1">
      <c r="A94" s="38" t="s">
        <v>91</v>
      </c>
      <c r="B94" s="47"/>
      <c r="C94" s="47"/>
      <c r="D94" s="47"/>
      <c r="E94" s="47"/>
    </row>
    <row r="95" spans="1:5" ht="16" outlineLevel="2">
      <c r="A95" s="39" t="s">
        <v>92</v>
      </c>
      <c r="B95" s="48">
        <v>1988.77</v>
      </c>
      <c r="C95" s="48">
        <v>2276.46</v>
      </c>
      <c r="D95" s="48">
        <v>2052.93</v>
      </c>
      <c r="E95" s="48">
        <f>B95+C95+D95</f>
        <v>6318.16</v>
      </c>
    </row>
    <row r="96" spans="1:5" ht="16" outlineLevel="1">
      <c r="A96" s="40" t="s">
        <v>93</v>
      </c>
      <c r="B96" s="49">
        <f>B94+B95</f>
        <v>1988.77</v>
      </c>
      <c r="C96" s="49">
        <f>C94+C95</f>
        <v>2276.46</v>
      </c>
      <c r="D96" s="49">
        <f>D94+D95</f>
        <v>2052.93</v>
      </c>
      <c r="E96" s="51">
        <f>B96+C96+D96</f>
        <v>6318.16</v>
      </c>
    </row>
    <row r="97" spans="1:5" ht="16" outlineLevel="1">
      <c r="A97" s="38" t="s">
        <v>94</v>
      </c>
      <c r="B97" s="47"/>
      <c r="C97" s="47"/>
      <c r="D97" s="47"/>
      <c r="E97" s="47"/>
    </row>
    <row r="98" spans="1:5" ht="16" outlineLevel="2">
      <c r="A98" s="39" t="s">
        <v>95</v>
      </c>
      <c r="B98" s="48">
        <v>63230.99</v>
      </c>
      <c r="C98" s="48">
        <v>87423.84</v>
      </c>
      <c r="D98" s="48">
        <v>85048.85</v>
      </c>
      <c r="E98" s="48">
        <f>B98+C98+D98</f>
        <v>235703.68</v>
      </c>
    </row>
    <row r="99" spans="1:5" ht="16" outlineLevel="2">
      <c r="A99" s="39" t="s">
        <v>96</v>
      </c>
      <c r="B99" s="48">
        <v>909159.34</v>
      </c>
      <c r="C99" s="48">
        <v>1027985.15</v>
      </c>
      <c r="D99" s="48">
        <v>1102682.42</v>
      </c>
      <c r="E99" s="48">
        <f>B99+C99+D99</f>
        <v>3039826.91</v>
      </c>
    </row>
    <row r="100" spans="1:5" ht="16" outlineLevel="1">
      <c r="A100" s="40" t="s">
        <v>97</v>
      </c>
      <c r="B100" s="49">
        <f>B97+B98+B99</f>
        <v>972390.33</v>
      </c>
      <c r="C100" s="49">
        <f>C97+C98+C99</f>
        <v>1115408.99</v>
      </c>
      <c r="D100" s="49">
        <f>D97+D98+D99</f>
        <v>1187731.27</v>
      </c>
      <c r="E100" s="51">
        <f>B100+C100+D100</f>
        <v>3275530.59</v>
      </c>
    </row>
    <row r="101" spans="1:5" ht="16" outlineLevel="1">
      <c r="A101" s="38" t="s">
        <v>98</v>
      </c>
      <c r="B101" s="47"/>
      <c r="C101" s="47"/>
      <c r="D101" s="48">
        <v>312.37</v>
      </c>
      <c r="E101" s="48">
        <f>B101+C101+D101</f>
        <v>312.37</v>
      </c>
    </row>
    <row r="102" spans="1:5" ht="16" outlineLevel="1">
      <c r="A102" s="38" t="s">
        <v>99</v>
      </c>
      <c r="B102" s="47"/>
      <c r="C102" s="47"/>
      <c r="D102" s="47"/>
      <c r="E102" s="47"/>
    </row>
    <row r="103" spans="1:5" ht="16" outlineLevel="2">
      <c r="A103" s="39" t="s">
        <v>100</v>
      </c>
      <c r="B103" s="48">
        <v>2150.0</v>
      </c>
      <c r="C103" s="48">
        <v>3400.0</v>
      </c>
      <c r="D103" s="47"/>
      <c r="E103" s="48">
        <f>B103+C103+D103</f>
        <v>5550.0</v>
      </c>
    </row>
    <row r="104" spans="1:5" ht="16" outlineLevel="2">
      <c r="A104" s="39" t="s">
        <v>101</v>
      </c>
      <c r="B104" s="47"/>
      <c r="C104" s="48">
        <v>20332.0</v>
      </c>
      <c r="D104" s="48">
        <v>60996.0</v>
      </c>
      <c r="E104" s="48">
        <f>B104+C104+D104</f>
        <v>81328.0</v>
      </c>
    </row>
    <row r="105" spans="1:5" ht="16" outlineLevel="3">
      <c r="A105" s="42" t="s">
        <v>102</v>
      </c>
      <c r="B105" s="48">
        <v>23626.96</v>
      </c>
      <c r="C105" s="48">
        <v>49738.3</v>
      </c>
      <c r="D105" s="48">
        <v>45700.47</v>
      </c>
      <c r="E105" s="48">
        <f>B105+C105+D105</f>
        <v>119065.73000000001</v>
      </c>
    </row>
    <row r="106" spans="1:5" ht="16" outlineLevel="3">
      <c r="A106" s="42" t="s">
        <v>103</v>
      </c>
      <c r="B106" s="48">
        <v>105000.0</v>
      </c>
      <c r="C106" s="48">
        <v>114166.0</v>
      </c>
      <c r="D106" s="48">
        <v>102000.0</v>
      </c>
      <c r="E106" s="48">
        <f>B106+C106+D106</f>
        <v>321166.0</v>
      </c>
    </row>
    <row r="107" spans="1:5" ht="16" outlineLevel="2">
      <c r="A107" s="43" t="s">
        <v>104</v>
      </c>
      <c r="B107" s="49">
        <f>B104+B105+B106</f>
        <v>128626.95999999999</v>
      </c>
      <c r="C107" s="49">
        <f>C104+C105+C106</f>
        <v>184236.3</v>
      </c>
      <c r="D107" s="49">
        <f>D104+D105+D106</f>
        <v>208696.47</v>
      </c>
      <c r="E107" s="51">
        <f>B107+C107+D107</f>
        <v>521559.73</v>
      </c>
    </row>
    <row r="108" spans="1:5" ht="16" outlineLevel="2">
      <c r="A108" s="39" t="s">
        <v>105</v>
      </c>
      <c r="B108" s="47"/>
      <c r="C108" s="47"/>
      <c r="D108" s="48">
        <v>100.0</v>
      </c>
      <c r="E108" s="48">
        <f>B108+C108+D108</f>
        <v>100.0</v>
      </c>
    </row>
    <row r="109" spans="1:5" ht="16" outlineLevel="2">
      <c r="A109" s="39" t="s">
        <v>106</v>
      </c>
      <c r="B109" s="48">
        <v>4073.75</v>
      </c>
      <c r="C109" s="48">
        <v>393.75</v>
      </c>
      <c r="D109" s="48">
        <v>10853.43</v>
      </c>
      <c r="E109" s="48">
        <f>B109+C109+D109</f>
        <v>15320.93</v>
      </c>
    </row>
    <row r="110" spans="1:5" ht="16" outlineLevel="1">
      <c r="A110" s="40" t="s">
        <v>107</v>
      </c>
      <c r="B110" s="49">
        <f>B102+B103+B107+B108+B109</f>
        <v>134850.71</v>
      </c>
      <c r="C110" s="49">
        <f>C102+C103+C107+C108+C109</f>
        <v>188030.05</v>
      </c>
      <c r="D110" s="49">
        <f>D102+D103+D107+D108+D109</f>
        <v>219649.9</v>
      </c>
      <c r="E110" s="51">
        <f>B110+C110+D110</f>
        <v>542530.66</v>
      </c>
    </row>
    <row r="111" spans="1:5" ht="16" outlineLevel="1">
      <c r="A111" s="38" t="s">
        <v>108</v>
      </c>
      <c r="B111" s="47"/>
      <c r="C111" s="47"/>
      <c r="D111" s="48">
        <v>0</v>
      </c>
      <c r="E111" s="48">
        <f>B111+C111+D111</f>
        <v>0.0</v>
      </c>
    </row>
    <row r="112" spans="1:5" ht="16" outlineLevel="1">
      <c r="A112" s="38" t="s">
        <v>109</v>
      </c>
      <c r="B112" s="48">
        <v>132771.47</v>
      </c>
      <c r="C112" s="48">
        <v>165108.96</v>
      </c>
      <c r="D112" s="48">
        <v>172653.97</v>
      </c>
      <c r="E112" s="48">
        <f>B112+C112+D112</f>
        <v>470534.4</v>
      </c>
    </row>
    <row r="113" spans="1:5" ht="16" outlineLevel="1">
      <c r="A113" s="38" t="s">
        <v>110</v>
      </c>
      <c r="B113" s="47"/>
      <c r="C113" s="47"/>
      <c r="D113" s="47"/>
      <c r="E113" s="47"/>
    </row>
    <row r="114" spans="1:5" ht="16" outlineLevel="2">
      <c r="A114" s="39" t="s">
        <v>111</v>
      </c>
      <c r="B114" s="48">
        <v>84.44</v>
      </c>
      <c r="C114" s="48">
        <v>421.13</v>
      </c>
      <c r="D114" s="47"/>
      <c r="E114" s="48">
        <f>B114+C114+D114</f>
        <v>505.57</v>
      </c>
    </row>
    <row r="115" spans="1:5" ht="16" outlineLevel="2">
      <c r="A115" s="39" t="s">
        <v>112</v>
      </c>
      <c r="B115" s="48">
        <v>4553.85</v>
      </c>
      <c r="C115" s="48">
        <v>1457.25</v>
      </c>
      <c r="D115" s="48">
        <v>2264.45</v>
      </c>
      <c r="E115" s="48">
        <f>B115+C115+D115</f>
        <v>8275.55</v>
      </c>
    </row>
    <row r="116" spans="1:5" ht="16" outlineLevel="2">
      <c r="A116" s="39" t="s">
        <v>113</v>
      </c>
      <c r="B116" s="48">
        <v>1916.7</v>
      </c>
      <c r="C116" s="48">
        <v>582.35</v>
      </c>
      <c r="D116" s="48">
        <v>1789.16</v>
      </c>
      <c r="E116" s="48">
        <f>B116+C116+D116</f>
        <v>4288.21</v>
      </c>
    </row>
    <row r="117" spans="1:5" ht="16" outlineLevel="1">
      <c r="A117" s="40" t="s">
        <v>114</v>
      </c>
      <c r="B117" s="49">
        <f>B113+B114+B115+B116</f>
        <v>6554.99</v>
      </c>
      <c r="C117" s="49">
        <f>C113+C114+C115+C116</f>
        <v>2460.73</v>
      </c>
      <c r="D117" s="49">
        <f>D113+D114+D115+D116</f>
        <v>4053.6099999999997</v>
      </c>
      <c r="E117" s="51">
        <f>B117+C117+D117</f>
        <v>13069.329999999998</v>
      </c>
    </row>
    <row r="118" spans="1:5" ht="16" outlineLevel="1">
      <c r="A118" s="38" t="s">
        <v>115</v>
      </c>
      <c r="B118" s="48">
        <v>334.98</v>
      </c>
      <c r="C118" s="48">
        <v>531.46</v>
      </c>
      <c r="D118" s="48">
        <v>290.97</v>
      </c>
      <c r="E118" s="48">
        <f>B118+C118+D118</f>
        <v>1157.41</v>
      </c>
    </row>
    <row r="119" spans="1:5" ht="16" outlineLevel="1">
      <c r="A119" s="38" t="s">
        <v>116</v>
      </c>
      <c r="B119" s="48">
        <v>10729.38</v>
      </c>
      <c r="C119" s="48">
        <v>28077.29</v>
      </c>
      <c r="D119" s="48">
        <v>19591.33</v>
      </c>
      <c r="E119" s="48">
        <f>B119+C119+D119</f>
        <v>58398.0</v>
      </c>
    </row>
    <row r="120" spans="1:5" ht="16" outlineLevel="2">
      <c r="A120" s="39" t="s">
        <v>117</v>
      </c>
      <c r="B120" s="48">
        <v>15628.95</v>
      </c>
      <c r="C120" s="48">
        <v>2524.67</v>
      </c>
      <c r="D120" s="48">
        <v>644.29</v>
      </c>
      <c r="E120" s="48">
        <f>B120+C120+D120</f>
        <v>18797.910000000003</v>
      </c>
    </row>
    <row r="121" spans="1:5" ht="16" outlineLevel="2">
      <c r="A121" s="39" t="s">
        <v>118</v>
      </c>
      <c r="B121" s="48">
        <v>77218.24</v>
      </c>
      <c r="C121" s="48">
        <v>68779.99</v>
      </c>
      <c r="D121" s="48">
        <v>112972.91</v>
      </c>
      <c r="E121" s="48">
        <f>B121+C121+D121</f>
        <v>258971.14</v>
      </c>
    </row>
    <row r="122" spans="1:5" ht="16" outlineLevel="2">
      <c r="A122" s="39" t="s">
        <v>119</v>
      </c>
      <c r="B122" s="48">
        <v>11686.03</v>
      </c>
      <c r="C122" s="48">
        <v>8421.14</v>
      </c>
      <c r="D122" s="48">
        <v>8824.01</v>
      </c>
      <c r="E122" s="48">
        <f>B122+C122+D122</f>
        <v>28931.18</v>
      </c>
    </row>
    <row r="123" spans="1:5" ht="16" outlineLevel="1">
      <c r="A123" s="40" t="s">
        <v>120</v>
      </c>
      <c r="B123" s="49">
        <f>B119+B120+B121+B122</f>
        <v>115262.6</v>
      </c>
      <c r="C123" s="49">
        <f>C119+C120+C121+C122</f>
        <v>107803.09000000001</v>
      </c>
      <c r="D123" s="49">
        <f>D119+D120+D121+D122</f>
        <v>142032.54</v>
      </c>
      <c r="E123" s="51">
        <f>B123+C123+D123</f>
        <v>365098.23</v>
      </c>
    </row>
    <row r="124" spans="1:5" ht="16" outlineLevel="1">
      <c r="A124" s="38" t="s">
        <v>95</v>
      </c>
      <c r="B124" s="47"/>
      <c r="C124" s="47"/>
      <c r="D124" s="47"/>
      <c r="E124" s="47"/>
    </row>
    <row r="125" spans="1:5" ht="16" outlineLevel="2">
      <c r="A125" s="39" t="s">
        <v>121</v>
      </c>
      <c r="B125" s="47"/>
      <c r="C125" s="48">
        <v>4841.0</v>
      </c>
      <c r="D125" s="47"/>
      <c r="E125" s="48">
        <f>B125+C125+D125</f>
        <v>4841.0</v>
      </c>
    </row>
    <row r="126" spans="1:5" ht="16" outlineLevel="2">
      <c r="A126" s="39" t="s">
        <v>122</v>
      </c>
      <c r="B126" s="47"/>
      <c r="C126" s="47"/>
      <c r="D126" s="48">
        <v>529.42</v>
      </c>
      <c r="E126" s="48">
        <f>B126+C126+D126</f>
        <v>529.42</v>
      </c>
    </row>
    <row r="127" spans="1:5" ht="16" outlineLevel="2">
      <c r="A127" s="39" t="s">
        <v>123</v>
      </c>
      <c r="B127" s="48">
        <v>15151.45</v>
      </c>
      <c r="C127" s="48">
        <v>6330.44</v>
      </c>
      <c r="D127" s="47"/>
      <c r="E127" s="48">
        <f>B127+C127+D127</f>
        <v>21481.89</v>
      </c>
    </row>
    <row r="128" spans="1:5" ht="16" outlineLevel="2">
      <c r="A128" s="39" t="s">
        <v>124</v>
      </c>
      <c r="B128" s="47"/>
      <c r="C128" s="48">
        <v>2014.08</v>
      </c>
      <c r="D128" s="48">
        <v>636.36</v>
      </c>
      <c r="E128" s="48">
        <f>B128+C128+D128</f>
        <v>2650.44</v>
      </c>
    </row>
    <row r="129" spans="1:5" ht="16" outlineLevel="1">
      <c r="A129" s="40" t="s">
        <v>125</v>
      </c>
      <c r="B129" s="49">
        <f>B124+B125+B126+B127+B128</f>
        <v>15151.45</v>
      </c>
      <c r="C129" s="49">
        <f>C124+C125+C126+C127+C128</f>
        <v>13185.519999999999</v>
      </c>
      <c r="D129" s="49">
        <f>D124+D125+D126+D127+D128</f>
        <v>1165.78</v>
      </c>
      <c r="E129" s="51">
        <f>B129+C129+D129</f>
        <v>29502.75</v>
      </c>
    </row>
    <row r="130" spans="1:5" ht="16" outlineLevel="1">
      <c r="A130" s="38" t="s">
        <v>126</v>
      </c>
      <c r="B130" s="47"/>
      <c r="C130" s="47"/>
      <c r="D130" s="47"/>
      <c r="E130" s="47"/>
    </row>
    <row r="131" spans="1:5" ht="16" outlineLevel="2">
      <c r="A131" s="39" t="s">
        <v>127</v>
      </c>
      <c r="B131" s="48">
        <v>504.97</v>
      </c>
      <c r="C131" s="47"/>
      <c r="D131" s="47"/>
      <c r="E131" s="48">
        <f>B131+C131+D131</f>
        <v>504.97</v>
      </c>
    </row>
    <row r="132" spans="1:5" ht="16" outlineLevel="2">
      <c r="A132" s="39" t="s">
        <v>128</v>
      </c>
      <c r="B132" s="48">
        <v>357.0</v>
      </c>
      <c r="C132" s="47"/>
      <c r="D132" s="47"/>
      <c r="E132" s="48">
        <f>B132+C132+D132</f>
        <v>357.0</v>
      </c>
    </row>
    <row r="133" spans="1:5" ht="16" outlineLevel="2">
      <c r="A133" s="39" t="s">
        <v>129</v>
      </c>
      <c r="B133" s="48">
        <v>1601.57</v>
      </c>
      <c r="C133" s="48">
        <v>1515.53</v>
      </c>
      <c r="D133" s="48">
        <v>1437.26</v>
      </c>
      <c r="E133" s="48">
        <f>B133+C133+D133</f>
        <v>4554.36</v>
      </c>
    </row>
    <row r="134" spans="1:5" ht="16" outlineLevel="2">
      <c r="A134" s="39" t="s">
        <v>130</v>
      </c>
      <c r="B134" s="48">
        <v>1819.91</v>
      </c>
      <c r="C134" s="47"/>
      <c r="D134" s="47"/>
      <c r="E134" s="48">
        <f>B134+C134+D134</f>
        <v>1819.91</v>
      </c>
    </row>
    <row r="135" spans="1:5" ht="16" outlineLevel="2">
      <c r="A135" s="39" t="s">
        <v>131</v>
      </c>
      <c r="B135" s="48">
        <v>6711.44</v>
      </c>
      <c r="C135" s="48">
        <v>7914.72</v>
      </c>
      <c r="D135" s="48">
        <v>5870.95</v>
      </c>
      <c r="E135" s="48">
        <f>B135+C135+D135</f>
        <v>20497.11</v>
      </c>
    </row>
    <row r="136" spans="1:5" ht="16" outlineLevel="1">
      <c r="A136" s="40" t="s">
        <v>132</v>
      </c>
      <c r="B136" s="49">
        <f>B130+B131+B132+B133+B134+B135</f>
        <v>10994.89</v>
      </c>
      <c r="C136" s="49">
        <f>C130+C131+C132+C133+C134+C135</f>
        <v>9430.25</v>
      </c>
      <c r="D136" s="49">
        <f>D130+D131+D132+D133+D134+D135</f>
        <v>7308.21</v>
      </c>
      <c r="E136" s="51">
        <f>B136+C136+D136</f>
        <v>27733.35</v>
      </c>
    </row>
    <row r="137" spans="1:5" ht="16" outlineLevel="1">
      <c r="A137" s="38" t="s">
        <v>133</v>
      </c>
      <c r="B137" s="47"/>
      <c r="C137" s="47"/>
      <c r="D137" s="48">
        <v>3247.5</v>
      </c>
      <c r="E137" s="48">
        <f>B137+C137+D137</f>
        <v>3247.5</v>
      </c>
    </row>
    <row r="138" spans="1:5" ht="16" outlineLevel="2">
      <c r="A138" s="39" t="s">
        <v>134</v>
      </c>
      <c r="B138" s="48">
        <v>3247.56</v>
      </c>
      <c r="C138" s="48">
        <v>3301.68</v>
      </c>
      <c r="D138" s="48">
        <v>649.5</v>
      </c>
      <c r="E138" s="48">
        <f>B138+C138+D138</f>
        <v>7198.74</v>
      </c>
    </row>
    <row r="139" spans="1:5" ht="16" outlineLevel="2">
      <c r="A139" s="39" t="s">
        <v>135</v>
      </c>
      <c r="B139" s="48">
        <v>16302.47</v>
      </c>
      <c r="C139" s="48">
        <v>14382.93</v>
      </c>
      <c r="D139" s="48">
        <v>21100.05</v>
      </c>
      <c r="E139" s="48">
        <f>B139+C139+D139</f>
        <v>51785.45</v>
      </c>
    </row>
    <row r="140" spans="1:5" ht="16" outlineLevel="2">
      <c r="A140" s="39" t="s">
        <v>136</v>
      </c>
      <c r="B140" s="48">
        <v>2520.21</v>
      </c>
      <c r="C140" s="48">
        <v>2530.37</v>
      </c>
      <c r="D140" s="48">
        <v>2631.24</v>
      </c>
      <c r="E140" s="48">
        <f>B140+C140+D140</f>
        <v>7681.82</v>
      </c>
    </row>
    <row r="141" spans="1:5" ht="16" outlineLevel="2">
      <c r="A141" s="39" t="s">
        <v>137</v>
      </c>
      <c r="B141" s="47"/>
      <c r="C141" s="48">
        <v>213.19</v>
      </c>
      <c r="D141" s="47"/>
      <c r="E141" s="48">
        <f>B141+C141+D141</f>
        <v>213.19</v>
      </c>
    </row>
    <row r="142" spans="1:5" ht="16" outlineLevel="2">
      <c r="A142" s="39" t="s">
        <v>138</v>
      </c>
      <c r="B142" s="48">
        <v>1488.61</v>
      </c>
      <c r="C142" s="48">
        <v>1623.72</v>
      </c>
      <c r="D142" s="48">
        <v>1623.72</v>
      </c>
      <c r="E142" s="48">
        <f>B142+C142+D142</f>
        <v>4736.05</v>
      </c>
    </row>
    <row r="143" spans="1:5" ht="16" outlineLevel="2">
      <c r="A143" s="39" t="s">
        <v>139</v>
      </c>
      <c r="B143" s="48">
        <v>1389.04</v>
      </c>
      <c r="C143" s="48">
        <v>1521.4</v>
      </c>
      <c r="D143" s="48">
        <v>1627.85</v>
      </c>
      <c r="E143" s="48">
        <f>B143+C143+D143</f>
        <v>4538.29</v>
      </c>
    </row>
    <row r="144" spans="1:5" ht="16" outlineLevel="2">
      <c r="A144" s="39" t="s">
        <v>140</v>
      </c>
      <c r="B144" s="48">
        <v>4183.97</v>
      </c>
      <c r="C144" s="48">
        <v>4003.74</v>
      </c>
      <c r="D144" s="48">
        <v>4057.74</v>
      </c>
      <c r="E144" s="48">
        <f>B144+C144+D144</f>
        <v>12245.45</v>
      </c>
    </row>
    <row r="145" spans="1:5" ht="16" outlineLevel="2">
      <c r="A145" s="39" t="s">
        <v>141</v>
      </c>
      <c r="B145" s="48">
        <v>3395.94</v>
      </c>
      <c r="C145" s="48">
        <v>3734.64</v>
      </c>
      <c r="D145" s="48">
        <v>4431.56</v>
      </c>
      <c r="E145" s="48">
        <f>B145+C145+D145</f>
        <v>11562.14</v>
      </c>
    </row>
    <row r="146" spans="1:5" ht="16" outlineLevel="2">
      <c r="A146" s="39" t="s">
        <v>142</v>
      </c>
      <c r="B146" s="48">
        <v>1448.45</v>
      </c>
      <c r="C146" s="48">
        <v>1561.29</v>
      </c>
      <c r="D146" s="48">
        <v>1597.16</v>
      </c>
      <c r="E146" s="48">
        <f>B146+C146+D146</f>
        <v>4606.9</v>
      </c>
    </row>
    <row r="147" spans="1:5" ht="16" outlineLevel="1">
      <c r="A147" s="40" t="s">
        <v>143</v>
      </c>
      <c r="B147" s="49">
        <f>B137+B138+B139+B140+B141+B142+B143+B144+B145+B146</f>
        <v>33976.25</v>
      </c>
      <c r="C147" s="49">
        <f>C137+C138+C139+C140+C141+C142+C143+C144+C145+C146</f>
        <v>32872.96</v>
      </c>
      <c r="D147" s="49">
        <f>D137+D138+D139+D140+D141+D142+D143+D144+D145+D146</f>
        <v>40966.32</v>
      </c>
      <c r="E147" s="51">
        <f>B147+C147+D147</f>
        <v>107815.53</v>
      </c>
    </row>
    <row r="148" spans="1:5" ht="16" outlineLevel="1">
      <c r="A148" s="38" t="s">
        <v>144</v>
      </c>
      <c r="B148" s="48">
        <v>89989.93</v>
      </c>
      <c r="C148" s="48">
        <v>87398.81</v>
      </c>
      <c r="D148" s="48">
        <v>102878.06</v>
      </c>
      <c r="E148" s="48">
        <f>B148+C148+D148</f>
        <v>280266.8</v>
      </c>
    </row>
    <row r="149" spans="1:5" ht="16" outlineLevel="1">
      <c r="A149" s="38" t="s">
        <v>145</v>
      </c>
      <c r="B149" s="47"/>
      <c r="C149" s="47"/>
      <c r="D149" s="48">
        <v>1013.22</v>
      </c>
      <c r="E149" s="48">
        <f>B149+C149+D149</f>
        <v>1013.22</v>
      </c>
    </row>
    <row r="150" spans="1:5" ht="16">
      <c r="A150" s="41" t="s">
        <v>146</v>
      </c>
      <c r="B150" s="49">
        <f>B74+B79+B80+B81+B82+B83+B84+B85+B86+B92+B93+B96+B100+B101+B110+B111+B112+B117+B118+B123+B129+B136+B147+B148+B149</f>
        <v>1712279.8599999996</v>
      </c>
      <c r="C150" s="49">
        <f>C74+C79+C80+C81+C82+C83+C84+C85+C86+C92+C93+C96+C100+C101+C110+C111+C112+C117+C118+C123+C129+C136+C147+C148+C149</f>
        <v>1883158.78</v>
      </c>
      <c r="D150" s="49">
        <f>D74+D79+D80+D81+D82+D83+D84+D85+D86+D92+D93+D96+D100+D101+D110+D111+D112+D117+D118+D123+D129+D136+D147+D148+D149</f>
        <v>2056133.4100000001</v>
      </c>
      <c r="E150" s="51">
        <f>B150+C150+D150</f>
        <v>5651572.05</v>
      </c>
    </row>
    <row r="151" spans="1:5" ht="16">
      <c r="A151" s="41" t="s">
        <v>147</v>
      </c>
      <c r="B151" s="49">
        <f>B72-B150</f>
        <v>101721.13000000059</v>
      </c>
      <c r="C151" s="49">
        <f>C72-C150</f>
        <v>-96573.98000000068</v>
      </c>
      <c r="D151" s="49">
        <f>D72-D150</f>
        <v>-25500.85000000056</v>
      </c>
      <c r="E151" s="51">
        <f>B151+C151+D151</f>
        <v>-20353.700000000652</v>
      </c>
    </row>
    <row r="152" spans="1:4" ht="16">
      <c r="A152" s="37" t="s">
        <v>148</v>
      </c>
      <c r="B152" s="47"/>
      <c r="C152" s="47"/>
      <c r="D152" s="47"/>
    </row>
    <row r="153" spans="1:5" ht="16" outlineLevel="1">
      <c r="A153" s="38" t="s">
        <v>149</v>
      </c>
      <c r="B153" s="48">
        <v>4120.28</v>
      </c>
      <c r="C153" s="48">
        <v>1375.47</v>
      </c>
      <c r="D153" s="48">
        <v>125.84</v>
      </c>
      <c r="E153" s="48">
        <f>B153+C153+D153</f>
        <v>5621.59</v>
      </c>
    </row>
    <row r="154" spans="1:5" ht="16" outlineLevel="1">
      <c r="A154" s="38" t="s">
        <v>150</v>
      </c>
      <c r="B154" s="47"/>
      <c r="C154" s="47"/>
      <c r="D154" s="48">
        <v>525.0</v>
      </c>
      <c r="E154" s="48">
        <f>B154+C154+D154</f>
        <v>525.0</v>
      </c>
    </row>
    <row r="155" spans="1:5" ht="16" outlineLevel="1">
      <c r="A155" s="38" t="s">
        <v>151</v>
      </c>
      <c r="B155" s="48">
        <v>245.72</v>
      </c>
      <c r="C155" s="48">
        <v>106.65</v>
      </c>
      <c r="D155" s="48">
        <v>124.77</v>
      </c>
      <c r="E155" s="48">
        <f>B155+C155+D155</f>
        <v>477.14</v>
      </c>
    </row>
    <row r="156" spans="1:5" ht="16">
      <c r="A156" s="41" t="s">
        <v>152</v>
      </c>
      <c r="B156" s="49">
        <f>B153+B154+B155</f>
        <v>4366.0</v>
      </c>
      <c r="C156" s="49">
        <f>C153+C154+C155</f>
        <v>1482.1200000000001</v>
      </c>
      <c r="D156" s="49">
        <f>D153+D154+D155</f>
        <v>775.61</v>
      </c>
      <c r="E156" s="51">
        <f>B156+C156+D156</f>
        <v>6623.73</v>
      </c>
    </row>
    <row r="157" spans="1:5" ht="16">
      <c r="A157" s="41" t="s">
        <v>153</v>
      </c>
      <c r="B157" s="50">
        <v>4366.0</v>
      </c>
      <c r="C157" s="50">
        <v>1482.1200000000001</v>
      </c>
      <c r="D157" s="50">
        <v>775.61</v>
      </c>
      <c r="E157" s="52">
        <v>6623.7300000000005</v>
      </c>
    </row>
    <row r="158" spans="1:5" ht="16">
      <c r="A158" s="41" t="s">
        <v>154</v>
      </c>
      <c r="B158" s="49">
        <v>106087.13000000012</v>
      </c>
      <c r="C158" s="49">
        <v>-95091.86000000068</v>
      </c>
      <c r="D158" s="49">
        <v>-24725.24000000056</v>
      </c>
      <c r="E158" s="51">
        <v>-13729.970000000187</v>
      </c>
    </row>
    <row r="162" spans="1:1" ht="16">
      <c r="A162" s="53" t="s">
        <v>160</v>
      </c>
    </row>
  </sheetData>
  <mergeCells count="4">
    <mergeCell ref="A1:E1"/>
    <mergeCell ref="A2:E2"/>
    <mergeCell ref="A3:E3"/>
    <mergeCell ref="A162:E16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