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asonmiller/Sites/Liquidstyle/AgentPersonas/OpsCommandTeam/analysis/"/>
    </mc:Choice>
  </mc:AlternateContent>
  <xr:revisionPtr revIDLastSave="0" documentId="13_ncr:1_{66DB5142-AE1B-EB4F-A70E-1CB8C930E9BF}" xr6:coauthVersionLast="47" xr6:coauthVersionMax="47" xr10:uidLastSave="{00000000-0000-0000-0000-000000000000}"/>
  <bookViews>
    <workbookView xWindow="14520" yWindow="1720" windowWidth="34300" windowHeight="23520" tabRatio="500" activeTab="9" xr2:uid="{00000000-000D-0000-FFFF-FFFF00000000}"/>
  </bookViews>
  <sheets>
    <sheet name="MARGE - 23 vs 24 Brief" sheetId="1" r:id="rId1"/>
    <sheet name="MARGE - 24 vs 25 Brief" sheetId="2" r:id="rId2"/>
    <sheet name="P&amp;L Detail 23v24" sheetId="3" r:id="rId3"/>
    <sheet name="P&amp;L Detail 24v25" sheetId="4" r:id="rId4"/>
    <sheet name="Client Shifts 23v24" sheetId="5" r:id="rId5"/>
    <sheet name="Client Shifts 24v25" sheetId="6" r:id="rId6"/>
    <sheet name="Vendor Shifts 23v24" sheetId="7" r:id="rId7"/>
    <sheet name="Vendor Shifts 24v25" sheetId="8" r:id="rId8"/>
    <sheet name="Monthly Trends" sheetId="9" r:id="rId9"/>
    <sheet name="Marge's Verdic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9" l="1"/>
  <c r="C32" i="9"/>
  <c r="B32" i="9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G23" i="9"/>
  <c r="E23" i="9"/>
  <c r="F23" i="9" s="1"/>
  <c r="G22" i="9"/>
  <c r="E22" i="9"/>
  <c r="F22" i="9" s="1"/>
  <c r="G21" i="9"/>
  <c r="E21" i="9"/>
  <c r="F21" i="9" s="1"/>
  <c r="G20" i="9"/>
  <c r="G32" i="9" s="1"/>
  <c r="E20" i="9"/>
  <c r="E32" i="9" s="1"/>
  <c r="D15" i="9"/>
  <c r="C15" i="9"/>
  <c r="B15" i="9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G9" i="9"/>
  <c r="E9" i="9"/>
  <c r="F9" i="9" s="1"/>
  <c r="G8" i="9"/>
  <c r="G15" i="9" s="1"/>
  <c r="E8" i="9"/>
  <c r="F8" i="9" s="1"/>
  <c r="G7" i="9"/>
  <c r="F7" i="9"/>
  <c r="E7" i="9"/>
  <c r="G6" i="9"/>
  <c r="E6" i="9"/>
  <c r="F6" i="9" s="1"/>
  <c r="G5" i="9"/>
  <c r="E5" i="9"/>
  <c r="F5" i="9" s="1"/>
  <c r="G4" i="9"/>
  <c r="E4" i="9"/>
  <c r="F4" i="9" s="1"/>
  <c r="G3" i="9"/>
  <c r="E3" i="9"/>
  <c r="F3" i="9" s="1"/>
  <c r="F101" i="8"/>
  <c r="E101" i="8"/>
  <c r="F100" i="8"/>
  <c r="E100" i="8"/>
  <c r="E99" i="8"/>
  <c r="F99" i="8" s="1"/>
  <c r="F98" i="8"/>
  <c r="E98" i="8"/>
  <c r="F97" i="8"/>
  <c r="E97" i="8"/>
  <c r="F96" i="8"/>
  <c r="E96" i="8"/>
  <c r="F95" i="8"/>
  <c r="E95" i="8"/>
  <c r="F94" i="8"/>
  <c r="E94" i="8"/>
  <c r="E93" i="8"/>
  <c r="F93" i="8" s="1"/>
  <c r="E92" i="8"/>
  <c r="F92" i="8" s="1"/>
  <c r="F91" i="8"/>
  <c r="E91" i="8"/>
  <c r="E90" i="8"/>
  <c r="F90" i="8" s="1"/>
  <c r="F89" i="8"/>
  <c r="E89" i="8"/>
  <c r="F88" i="8"/>
  <c r="E88" i="8"/>
  <c r="E87" i="8"/>
  <c r="F87" i="8" s="1"/>
  <c r="F86" i="8"/>
  <c r="E86" i="8"/>
  <c r="F85" i="8"/>
  <c r="E85" i="8"/>
  <c r="F84" i="8"/>
  <c r="E84" i="8"/>
  <c r="F83" i="8"/>
  <c r="E83" i="8"/>
  <c r="F82" i="8"/>
  <c r="E82" i="8"/>
  <c r="E81" i="8"/>
  <c r="F81" i="8" s="1"/>
  <c r="E80" i="8"/>
  <c r="F80" i="8" s="1"/>
  <c r="F79" i="8"/>
  <c r="E79" i="8"/>
  <c r="E78" i="8"/>
  <c r="F78" i="8" s="1"/>
  <c r="F77" i="8"/>
  <c r="E77" i="8"/>
  <c r="F76" i="8"/>
  <c r="E76" i="8"/>
  <c r="E75" i="8"/>
  <c r="F75" i="8" s="1"/>
  <c r="F74" i="8"/>
  <c r="E74" i="8"/>
  <c r="F73" i="8"/>
  <c r="E73" i="8"/>
  <c r="F72" i="8"/>
  <c r="E72" i="8"/>
  <c r="F71" i="8"/>
  <c r="E71" i="8"/>
  <c r="F70" i="8"/>
  <c r="E70" i="8"/>
  <c r="E69" i="8"/>
  <c r="F69" i="8" s="1"/>
  <c r="E68" i="8"/>
  <c r="F68" i="8" s="1"/>
  <c r="F67" i="8"/>
  <c r="E67" i="8"/>
  <c r="E66" i="8"/>
  <c r="F66" i="8" s="1"/>
  <c r="F65" i="8"/>
  <c r="E65" i="8"/>
  <c r="F64" i="8"/>
  <c r="E64" i="8"/>
  <c r="E63" i="8"/>
  <c r="F63" i="8" s="1"/>
  <c r="F62" i="8"/>
  <c r="E62" i="8"/>
  <c r="F61" i="8"/>
  <c r="E61" i="8"/>
  <c r="F60" i="8"/>
  <c r="E60" i="8"/>
  <c r="F59" i="8"/>
  <c r="E59" i="8"/>
  <c r="F58" i="8"/>
  <c r="E58" i="8"/>
  <c r="E57" i="8"/>
  <c r="F57" i="8" s="1"/>
  <c r="E56" i="8"/>
  <c r="F56" i="8" s="1"/>
  <c r="F55" i="8"/>
  <c r="E55" i="8"/>
  <c r="E54" i="8"/>
  <c r="F54" i="8" s="1"/>
  <c r="F53" i="8"/>
  <c r="E53" i="8"/>
  <c r="F52" i="8"/>
  <c r="E52" i="8"/>
  <c r="E51" i="8"/>
  <c r="F51" i="8" s="1"/>
  <c r="F50" i="8"/>
  <c r="E50" i="8"/>
  <c r="F49" i="8"/>
  <c r="E49" i="8"/>
  <c r="F48" i="8"/>
  <c r="E48" i="8"/>
  <c r="F47" i="8"/>
  <c r="E47" i="8"/>
  <c r="F46" i="8"/>
  <c r="E46" i="8"/>
  <c r="E45" i="8"/>
  <c r="F45" i="8" s="1"/>
  <c r="E44" i="8"/>
  <c r="F44" i="8" s="1"/>
  <c r="F43" i="8"/>
  <c r="E43" i="8"/>
  <c r="E42" i="8"/>
  <c r="F42" i="8" s="1"/>
  <c r="F41" i="8"/>
  <c r="E41" i="8"/>
  <c r="F40" i="8"/>
  <c r="E40" i="8"/>
  <c r="E39" i="8"/>
  <c r="F39" i="8" s="1"/>
  <c r="F38" i="8"/>
  <c r="E38" i="8"/>
  <c r="F37" i="8"/>
  <c r="E37" i="8"/>
  <c r="F36" i="8"/>
  <c r="E36" i="8"/>
  <c r="F35" i="8"/>
  <c r="E35" i="8"/>
  <c r="F34" i="8"/>
  <c r="E34" i="8"/>
  <c r="E33" i="8"/>
  <c r="F33" i="8" s="1"/>
  <c r="E32" i="8"/>
  <c r="F32" i="8" s="1"/>
  <c r="F31" i="8"/>
  <c r="E31" i="8"/>
  <c r="E30" i="8"/>
  <c r="F30" i="8" s="1"/>
  <c r="F29" i="8"/>
  <c r="E29" i="8"/>
  <c r="F28" i="8"/>
  <c r="E28" i="8"/>
  <c r="E27" i="8"/>
  <c r="F27" i="8" s="1"/>
  <c r="F26" i="8"/>
  <c r="E26" i="8"/>
  <c r="F25" i="8"/>
  <c r="E25" i="8"/>
  <c r="F24" i="8"/>
  <c r="E24" i="8"/>
  <c r="F23" i="8"/>
  <c r="E23" i="8"/>
  <c r="F22" i="8"/>
  <c r="E22" i="8"/>
  <c r="E21" i="8"/>
  <c r="F21" i="8" s="1"/>
  <c r="E20" i="8"/>
  <c r="F20" i="8" s="1"/>
  <c r="F19" i="8"/>
  <c r="E19" i="8"/>
  <c r="E18" i="8"/>
  <c r="F18" i="8" s="1"/>
  <c r="F17" i="8"/>
  <c r="E17" i="8"/>
  <c r="F16" i="8"/>
  <c r="E16" i="8"/>
  <c r="E15" i="8"/>
  <c r="F15" i="8" s="1"/>
  <c r="F14" i="8"/>
  <c r="E14" i="8"/>
  <c r="F13" i="8"/>
  <c r="E13" i="8"/>
  <c r="F12" i="8"/>
  <c r="E12" i="8"/>
  <c r="F11" i="8"/>
  <c r="E11" i="8"/>
  <c r="F10" i="8"/>
  <c r="E10" i="8"/>
  <c r="E9" i="8"/>
  <c r="F9" i="8" s="1"/>
  <c r="E8" i="8"/>
  <c r="F8" i="8" s="1"/>
  <c r="F7" i="8"/>
  <c r="E7" i="8"/>
  <c r="E6" i="8"/>
  <c r="F6" i="8" s="1"/>
  <c r="F5" i="8"/>
  <c r="E5" i="8"/>
  <c r="F4" i="8"/>
  <c r="E4" i="8"/>
  <c r="E3" i="8"/>
  <c r="F3" i="8" s="1"/>
  <c r="F2" i="8"/>
  <c r="E2" i="8"/>
  <c r="F101" i="7"/>
  <c r="E101" i="7"/>
  <c r="F100" i="7"/>
  <c r="E100" i="7"/>
  <c r="F99" i="7"/>
  <c r="E99" i="7"/>
  <c r="F98" i="7"/>
  <c r="E98" i="7"/>
  <c r="E97" i="7"/>
  <c r="F97" i="7" s="1"/>
  <c r="E96" i="7"/>
  <c r="F96" i="7" s="1"/>
  <c r="F95" i="7"/>
  <c r="E95" i="7"/>
  <c r="E94" i="7"/>
  <c r="F94" i="7" s="1"/>
  <c r="F93" i="7"/>
  <c r="E93" i="7"/>
  <c r="F92" i="7"/>
  <c r="E92" i="7"/>
  <c r="E91" i="7"/>
  <c r="F91" i="7" s="1"/>
  <c r="F90" i="7"/>
  <c r="E90" i="7"/>
  <c r="F89" i="7"/>
  <c r="E89" i="7"/>
  <c r="F88" i="7"/>
  <c r="E88" i="7"/>
  <c r="F87" i="7"/>
  <c r="E87" i="7"/>
  <c r="F86" i="7"/>
  <c r="E86" i="7"/>
  <c r="E85" i="7"/>
  <c r="F85" i="7" s="1"/>
  <c r="E84" i="7"/>
  <c r="F84" i="7" s="1"/>
  <c r="F83" i="7"/>
  <c r="E83" i="7"/>
  <c r="E82" i="7"/>
  <c r="F82" i="7" s="1"/>
  <c r="F81" i="7"/>
  <c r="E81" i="7"/>
  <c r="F80" i="7"/>
  <c r="E80" i="7"/>
  <c r="E79" i="7"/>
  <c r="F79" i="7" s="1"/>
  <c r="F78" i="7"/>
  <c r="E78" i="7"/>
  <c r="F77" i="7"/>
  <c r="E77" i="7"/>
  <c r="F76" i="7"/>
  <c r="E76" i="7"/>
  <c r="F75" i="7"/>
  <c r="E75" i="7"/>
  <c r="F74" i="7"/>
  <c r="E74" i="7"/>
  <c r="E73" i="7"/>
  <c r="F73" i="7" s="1"/>
  <c r="E72" i="7"/>
  <c r="F72" i="7" s="1"/>
  <c r="F71" i="7"/>
  <c r="E71" i="7"/>
  <c r="E70" i="7"/>
  <c r="F70" i="7" s="1"/>
  <c r="F69" i="7"/>
  <c r="E69" i="7"/>
  <c r="F68" i="7"/>
  <c r="E68" i="7"/>
  <c r="E67" i="7"/>
  <c r="F67" i="7" s="1"/>
  <c r="F66" i="7"/>
  <c r="E66" i="7"/>
  <c r="F65" i="7"/>
  <c r="E65" i="7"/>
  <c r="F64" i="7"/>
  <c r="E64" i="7"/>
  <c r="F63" i="7"/>
  <c r="E63" i="7"/>
  <c r="F62" i="7"/>
  <c r="E62" i="7"/>
  <c r="E61" i="7"/>
  <c r="F61" i="7" s="1"/>
  <c r="E60" i="7"/>
  <c r="F60" i="7" s="1"/>
  <c r="F59" i="7"/>
  <c r="E59" i="7"/>
  <c r="E58" i="7"/>
  <c r="F58" i="7" s="1"/>
  <c r="F57" i="7"/>
  <c r="E57" i="7"/>
  <c r="F56" i="7"/>
  <c r="E56" i="7"/>
  <c r="E55" i="7"/>
  <c r="F55" i="7" s="1"/>
  <c r="F54" i="7"/>
  <c r="E54" i="7"/>
  <c r="F53" i="7"/>
  <c r="E53" i="7"/>
  <c r="F52" i="7"/>
  <c r="E52" i="7"/>
  <c r="F51" i="7"/>
  <c r="E51" i="7"/>
  <c r="F50" i="7"/>
  <c r="E50" i="7"/>
  <c r="E49" i="7"/>
  <c r="F49" i="7" s="1"/>
  <c r="E48" i="7"/>
  <c r="F48" i="7" s="1"/>
  <c r="F47" i="7"/>
  <c r="E47" i="7"/>
  <c r="E46" i="7"/>
  <c r="F46" i="7" s="1"/>
  <c r="F45" i="7"/>
  <c r="E45" i="7"/>
  <c r="F44" i="7"/>
  <c r="E44" i="7"/>
  <c r="E43" i="7"/>
  <c r="F43" i="7" s="1"/>
  <c r="F42" i="7"/>
  <c r="E42" i="7"/>
  <c r="F41" i="7"/>
  <c r="E41" i="7"/>
  <c r="F40" i="7"/>
  <c r="E40" i="7"/>
  <c r="F39" i="7"/>
  <c r="E39" i="7"/>
  <c r="F38" i="7"/>
  <c r="E38" i="7"/>
  <c r="E37" i="7"/>
  <c r="F37" i="7" s="1"/>
  <c r="E36" i="7"/>
  <c r="F36" i="7" s="1"/>
  <c r="F35" i="7"/>
  <c r="E35" i="7"/>
  <c r="E34" i="7"/>
  <c r="F34" i="7" s="1"/>
  <c r="F33" i="7"/>
  <c r="E33" i="7"/>
  <c r="F32" i="7"/>
  <c r="E32" i="7"/>
  <c r="E31" i="7"/>
  <c r="F31" i="7" s="1"/>
  <c r="F30" i="7"/>
  <c r="E30" i="7"/>
  <c r="F29" i="7"/>
  <c r="E29" i="7"/>
  <c r="F28" i="7"/>
  <c r="E28" i="7"/>
  <c r="F27" i="7"/>
  <c r="E27" i="7"/>
  <c r="F26" i="7"/>
  <c r="E26" i="7"/>
  <c r="E25" i="7"/>
  <c r="F25" i="7" s="1"/>
  <c r="E24" i="7"/>
  <c r="F24" i="7" s="1"/>
  <c r="F23" i="7"/>
  <c r="E23" i="7"/>
  <c r="E22" i="7"/>
  <c r="F22" i="7" s="1"/>
  <c r="F21" i="7"/>
  <c r="E21" i="7"/>
  <c r="F20" i="7"/>
  <c r="E20" i="7"/>
  <c r="E19" i="7"/>
  <c r="F19" i="7" s="1"/>
  <c r="F18" i="7"/>
  <c r="E18" i="7"/>
  <c r="F17" i="7"/>
  <c r="E17" i="7"/>
  <c r="F16" i="7"/>
  <c r="E16" i="7"/>
  <c r="F15" i="7"/>
  <c r="E15" i="7"/>
  <c r="F14" i="7"/>
  <c r="E14" i="7"/>
  <c r="E13" i="7"/>
  <c r="F13" i="7" s="1"/>
  <c r="E12" i="7"/>
  <c r="F12" i="7" s="1"/>
  <c r="F11" i="7"/>
  <c r="E11" i="7"/>
  <c r="E10" i="7"/>
  <c r="F10" i="7" s="1"/>
  <c r="F9" i="7"/>
  <c r="E9" i="7"/>
  <c r="F8" i="7"/>
  <c r="E8" i="7"/>
  <c r="E7" i="7"/>
  <c r="F7" i="7" s="1"/>
  <c r="F6" i="7"/>
  <c r="E6" i="7"/>
  <c r="F5" i="7"/>
  <c r="E5" i="7"/>
  <c r="F4" i="7"/>
  <c r="E4" i="7"/>
  <c r="F3" i="7"/>
  <c r="E3" i="7"/>
  <c r="F2" i="7"/>
  <c r="E2" i="7"/>
  <c r="E310" i="6"/>
  <c r="F310" i="6" s="1"/>
  <c r="E309" i="6"/>
  <c r="F309" i="6" s="1"/>
  <c r="F308" i="6"/>
  <c r="E308" i="6"/>
  <c r="E307" i="6"/>
  <c r="F307" i="6" s="1"/>
  <c r="F306" i="6"/>
  <c r="E306" i="6"/>
  <c r="F305" i="6"/>
  <c r="E305" i="6"/>
  <c r="E304" i="6"/>
  <c r="F304" i="6" s="1"/>
  <c r="F303" i="6"/>
  <c r="E303" i="6"/>
  <c r="F302" i="6"/>
  <c r="E302" i="6"/>
  <c r="F301" i="6"/>
  <c r="E301" i="6"/>
  <c r="F300" i="6"/>
  <c r="E300" i="6"/>
  <c r="F299" i="6"/>
  <c r="E299" i="6"/>
  <c r="E298" i="6"/>
  <c r="F298" i="6" s="1"/>
  <c r="E297" i="6"/>
  <c r="F297" i="6" s="1"/>
  <c r="F296" i="6"/>
  <c r="E296" i="6"/>
  <c r="E295" i="6"/>
  <c r="F295" i="6" s="1"/>
  <c r="F294" i="6"/>
  <c r="E294" i="6"/>
  <c r="F293" i="6"/>
  <c r="E293" i="6"/>
  <c r="E292" i="6"/>
  <c r="F292" i="6" s="1"/>
  <c r="F291" i="6"/>
  <c r="E291" i="6"/>
  <c r="F290" i="6"/>
  <c r="E290" i="6"/>
  <c r="F289" i="6"/>
  <c r="E289" i="6"/>
  <c r="F288" i="6"/>
  <c r="E288" i="6"/>
  <c r="F287" i="6"/>
  <c r="E287" i="6"/>
  <c r="E286" i="6"/>
  <c r="F286" i="6" s="1"/>
  <c r="E285" i="6"/>
  <c r="F285" i="6" s="1"/>
  <c r="F284" i="6"/>
  <c r="E284" i="6"/>
  <c r="E283" i="6"/>
  <c r="F283" i="6" s="1"/>
  <c r="F282" i="6"/>
  <c r="E282" i="6"/>
  <c r="F281" i="6"/>
  <c r="E281" i="6"/>
  <c r="E280" i="6"/>
  <c r="F280" i="6" s="1"/>
  <c r="F279" i="6"/>
  <c r="E279" i="6"/>
  <c r="F278" i="6"/>
  <c r="E278" i="6"/>
  <c r="F277" i="6"/>
  <c r="E277" i="6"/>
  <c r="F276" i="6"/>
  <c r="E276" i="6"/>
  <c r="F275" i="6"/>
  <c r="E275" i="6"/>
  <c r="E274" i="6"/>
  <c r="F274" i="6" s="1"/>
  <c r="E273" i="6"/>
  <c r="F273" i="6" s="1"/>
  <c r="F272" i="6"/>
  <c r="E272" i="6"/>
  <c r="E271" i="6"/>
  <c r="F271" i="6" s="1"/>
  <c r="F270" i="6"/>
  <c r="E270" i="6"/>
  <c r="F269" i="6"/>
  <c r="E269" i="6"/>
  <c r="E268" i="6"/>
  <c r="F268" i="6" s="1"/>
  <c r="F267" i="6"/>
  <c r="E267" i="6"/>
  <c r="F266" i="6"/>
  <c r="E266" i="6"/>
  <c r="F265" i="6"/>
  <c r="E265" i="6"/>
  <c r="F264" i="6"/>
  <c r="E264" i="6"/>
  <c r="F263" i="6"/>
  <c r="E263" i="6"/>
  <c r="E262" i="6"/>
  <c r="F262" i="6" s="1"/>
  <c r="E261" i="6"/>
  <c r="F261" i="6" s="1"/>
  <c r="F260" i="6"/>
  <c r="E260" i="6"/>
  <c r="E259" i="6"/>
  <c r="F259" i="6" s="1"/>
  <c r="F258" i="6"/>
  <c r="E258" i="6"/>
  <c r="F257" i="6"/>
  <c r="E257" i="6"/>
  <c r="E256" i="6"/>
  <c r="F256" i="6" s="1"/>
  <c r="F255" i="6"/>
  <c r="E255" i="6"/>
  <c r="F254" i="6"/>
  <c r="E254" i="6"/>
  <c r="F253" i="6"/>
  <c r="E253" i="6"/>
  <c r="F252" i="6"/>
  <c r="E252" i="6"/>
  <c r="F251" i="6"/>
  <c r="E251" i="6"/>
  <c r="E250" i="6"/>
  <c r="F250" i="6" s="1"/>
  <c r="E249" i="6"/>
  <c r="F249" i="6" s="1"/>
  <c r="F248" i="6"/>
  <c r="E248" i="6"/>
  <c r="E247" i="6"/>
  <c r="F247" i="6" s="1"/>
  <c r="F246" i="6"/>
  <c r="E246" i="6"/>
  <c r="F245" i="6"/>
  <c r="E245" i="6"/>
  <c r="E244" i="6"/>
  <c r="F244" i="6" s="1"/>
  <c r="F243" i="6"/>
  <c r="E243" i="6"/>
  <c r="F242" i="6"/>
  <c r="E242" i="6"/>
  <c r="F241" i="6"/>
  <c r="E241" i="6"/>
  <c r="F240" i="6"/>
  <c r="E240" i="6"/>
  <c r="F239" i="6"/>
  <c r="E239" i="6"/>
  <c r="E238" i="6"/>
  <c r="F238" i="6" s="1"/>
  <c r="E237" i="6"/>
  <c r="F237" i="6" s="1"/>
  <c r="F236" i="6"/>
  <c r="E236" i="6"/>
  <c r="E235" i="6"/>
  <c r="F235" i="6" s="1"/>
  <c r="F234" i="6"/>
  <c r="E234" i="6"/>
  <c r="F233" i="6"/>
  <c r="E233" i="6"/>
  <c r="E232" i="6"/>
  <c r="F232" i="6" s="1"/>
  <c r="F231" i="6"/>
  <c r="E231" i="6"/>
  <c r="F230" i="6"/>
  <c r="E230" i="6"/>
  <c r="F229" i="6"/>
  <c r="E229" i="6"/>
  <c r="F228" i="6"/>
  <c r="E228" i="6"/>
  <c r="F227" i="6"/>
  <c r="E227" i="6"/>
  <c r="E226" i="6"/>
  <c r="F226" i="6" s="1"/>
  <c r="E225" i="6"/>
  <c r="F225" i="6" s="1"/>
  <c r="F224" i="6"/>
  <c r="E224" i="6"/>
  <c r="E223" i="6"/>
  <c r="F223" i="6" s="1"/>
  <c r="F222" i="6"/>
  <c r="E222" i="6"/>
  <c r="F221" i="6"/>
  <c r="E221" i="6"/>
  <c r="E220" i="6"/>
  <c r="F220" i="6" s="1"/>
  <c r="F219" i="6"/>
  <c r="E219" i="6"/>
  <c r="F218" i="6"/>
  <c r="E218" i="6"/>
  <c r="F217" i="6"/>
  <c r="E217" i="6"/>
  <c r="F216" i="6"/>
  <c r="E216" i="6"/>
  <c r="F215" i="6"/>
  <c r="E215" i="6"/>
  <c r="E214" i="6"/>
  <c r="F214" i="6" s="1"/>
  <c r="E213" i="6"/>
  <c r="F213" i="6" s="1"/>
  <c r="F212" i="6"/>
  <c r="E212" i="6"/>
  <c r="E211" i="6"/>
  <c r="F211" i="6" s="1"/>
  <c r="F210" i="6"/>
  <c r="E210" i="6"/>
  <c r="F209" i="6"/>
  <c r="E209" i="6"/>
  <c r="E208" i="6"/>
  <c r="F208" i="6" s="1"/>
  <c r="F207" i="6"/>
  <c r="E207" i="6"/>
  <c r="F206" i="6"/>
  <c r="E206" i="6"/>
  <c r="F205" i="6"/>
  <c r="E205" i="6"/>
  <c r="F204" i="6"/>
  <c r="E204" i="6"/>
  <c r="F203" i="6"/>
  <c r="E203" i="6"/>
  <c r="E202" i="6"/>
  <c r="F202" i="6" s="1"/>
  <c r="E201" i="6"/>
  <c r="F201" i="6" s="1"/>
  <c r="F200" i="6"/>
  <c r="E200" i="6"/>
  <c r="E199" i="6"/>
  <c r="F199" i="6" s="1"/>
  <c r="F198" i="6"/>
  <c r="E198" i="6"/>
  <c r="F197" i="6"/>
  <c r="E197" i="6"/>
  <c r="E196" i="6"/>
  <c r="F196" i="6" s="1"/>
  <c r="F195" i="6"/>
  <c r="E195" i="6"/>
  <c r="F194" i="6"/>
  <c r="E194" i="6"/>
  <c r="F193" i="6"/>
  <c r="E193" i="6"/>
  <c r="F192" i="6"/>
  <c r="E192" i="6"/>
  <c r="F191" i="6"/>
  <c r="E191" i="6"/>
  <c r="E190" i="6"/>
  <c r="F190" i="6" s="1"/>
  <c r="E189" i="6"/>
  <c r="F189" i="6" s="1"/>
  <c r="F188" i="6"/>
  <c r="E188" i="6"/>
  <c r="E187" i="6"/>
  <c r="F187" i="6" s="1"/>
  <c r="F186" i="6"/>
  <c r="E186" i="6"/>
  <c r="F185" i="6"/>
  <c r="E185" i="6"/>
  <c r="E184" i="6"/>
  <c r="F184" i="6" s="1"/>
  <c r="F183" i="6"/>
  <c r="E183" i="6"/>
  <c r="F182" i="6"/>
  <c r="E182" i="6"/>
  <c r="F181" i="6"/>
  <c r="E181" i="6"/>
  <c r="F180" i="6"/>
  <c r="E180" i="6"/>
  <c r="F179" i="6"/>
  <c r="E179" i="6"/>
  <c r="E178" i="6"/>
  <c r="F178" i="6" s="1"/>
  <c r="E177" i="6"/>
  <c r="F177" i="6" s="1"/>
  <c r="F176" i="6"/>
  <c r="E176" i="6"/>
  <c r="E175" i="6"/>
  <c r="F175" i="6" s="1"/>
  <c r="F174" i="6"/>
  <c r="E174" i="6"/>
  <c r="F173" i="6"/>
  <c r="E173" i="6"/>
  <c r="E172" i="6"/>
  <c r="F172" i="6" s="1"/>
  <c r="F171" i="6"/>
  <c r="E171" i="6"/>
  <c r="F170" i="6"/>
  <c r="E170" i="6"/>
  <c r="F169" i="6"/>
  <c r="E169" i="6"/>
  <c r="F168" i="6"/>
  <c r="E168" i="6"/>
  <c r="F167" i="6"/>
  <c r="E167" i="6"/>
  <c r="E166" i="6"/>
  <c r="F166" i="6" s="1"/>
  <c r="E165" i="6"/>
  <c r="F165" i="6" s="1"/>
  <c r="F164" i="6"/>
  <c r="E164" i="6"/>
  <c r="E163" i="6"/>
  <c r="F163" i="6" s="1"/>
  <c r="F162" i="6"/>
  <c r="E162" i="6"/>
  <c r="F161" i="6"/>
  <c r="E161" i="6"/>
  <c r="E160" i="6"/>
  <c r="F160" i="6" s="1"/>
  <c r="F159" i="6"/>
  <c r="E159" i="6"/>
  <c r="F158" i="6"/>
  <c r="E158" i="6"/>
  <c r="F157" i="6"/>
  <c r="E157" i="6"/>
  <c r="F156" i="6"/>
  <c r="E156" i="6"/>
  <c r="F155" i="6"/>
  <c r="E155" i="6"/>
  <c r="E154" i="6"/>
  <c r="F154" i="6" s="1"/>
  <c r="E153" i="6"/>
  <c r="F153" i="6" s="1"/>
  <c r="F152" i="6"/>
  <c r="E152" i="6"/>
  <c r="E151" i="6"/>
  <c r="F151" i="6" s="1"/>
  <c r="F150" i="6"/>
  <c r="E150" i="6"/>
  <c r="F149" i="6"/>
  <c r="E149" i="6"/>
  <c r="E148" i="6"/>
  <c r="F148" i="6" s="1"/>
  <c r="F147" i="6"/>
  <c r="E147" i="6"/>
  <c r="F146" i="6"/>
  <c r="E146" i="6"/>
  <c r="F145" i="6"/>
  <c r="E145" i="6"/>
  <c r="F144" i="6"/>
  <c r="E144" i="6"/>
  <c r="F143" i="6"/>
  <c r="E143" i="6"/>
  <c r="E142" i="6"/>
  <c r="F142" i="6" s="1"/>
  <c r="E141" i="6"/>
  <c r="F141" i="6" s="1"/>
  <c r="F140" i="6"/>
  <c r="E140" i="6"/>
  <c r="E139" i="6"/>
  <c r="F139" i="6" s="1"/>
  <c r="F138" i="6"/>
  <c r="E138" i="6"/>
  <c r="F137" i="6"/>
  <c r="E137" i="6"/>
  <c r="E136" i="6"/>
  <c r="F136" i="6" s="1"/>
  <c r="F135" i="6"/>
  <c r="E135" i="6"/>
  <c r="F134" i="6"/>
  <c r="E134" i="6"/>
  <c r="F133" i="6"/>
  <c r="E133" i="6"/>
  <c r="F132" i="6"/>
  <c r="E132" i="6"/>
  <c r="F131" i="6"/>
  <c r="E131" i="6"/>
  <c r="E130" i="6"/>
  <c r="F130" i="6" s="1"/>
  <c r="E129" i="6"/>
  <c r="F129" i="6" s="1"/>
  <c r="F128" i="6"/>
  <c r="E128" i="6"/>
  <c r="E127" i="6"/>
  <c r="F127" i="6" s="1"/>
  <c r="F126" i="6"/>
  <c r="E126" i="6"/>
  <c r="F125" i="6"/>
  <c r="E125" i="6"/>
  <c r="E124" i="6"/>
  <c r="F124" i="6" s="1"/>
  <c r="F123" i="6"/>
  <c r="E123" i="6"/>
  <c r="F122" i="6"/>
  <c r="E122" i="6"/>
  <c r="F121" i="6"/>
  <c r="E121" i="6"/>
  <c r="F120" i="6"/>
  <c r="E120" i="6"/>
  <c r="F119" i="6"/>
  <c r="E119" i="6"/>
  <c r="E118" i="6"/>
  <c r="F118" i="6" s="1"/>
  <c r="E117" i="6"/>
  <c r="F117" i="6" s="1"/>
  <c r="F116" i="6"/>
  <c r="E116" i="6"/>
  <c r="E115" i="6"/>
  <c r="F115" i="6" s="1"/>
  <c r="F114" i="6"/>
  <c r="E114" i="6"/>
  <c r="F113" i="6"/>
  <c r="E113" i="6"/>
  <c r="E112" i="6"/>
  <c r="F112" i="6" s="1"/>
  <c r="F111" i="6"/>
  <c r="E111" i="6"/>
  <c r="F110" i="6"/>
  <c r="E110" i="6"/>
  <c r="F109" i="6"/>
  <c r="E109" i="6"/>
  <c r="F108" i="6"/>
  <c r="E108" i="6"/>
  <c r="F107" i="6"/>
  <c r="E107" i="6"/>
  <c r="E106" i="6"/>
  <c r="F106" i="6" s="1"/>
  <c r="E105" i="6"/>
  <c r="F105" i="6" s="1"/>
  <c r="F104" i="6"/>
  <c r="E104" i="6"/>
  <c r="E103" i="6"/>
  <c r="F103" i="6" s="1"/>
  <c r="F102" i="6"/>
  <c r="E102" i="6"/>
  <c r="F101" i="6"/>
  <c r="E101" i="6"/>
  <c r="E100" i="6"/>
  <c r="F100" i="6" s="1"/>
  <c r="F99" i="6"/>
  <c r="E99" i="6"/>
  <c r="F98" i="6"/>
  <c r="E98" i="6"/>
  <c r="F97" i="6"/>
  <c r="E97" i="6"/>
  <c r="F96" i="6"/>
  <c r="E96" i="6"/>
  <c r="F95" i="6"/>
  <c r="E95" i="6"/>
  <c r="E94" i="6"/>
  <c r="F94" i="6" s="1"/>
  <c r="E93" i="6"/>
  <c r="F93" i="6" s="1"/>
  <c r="F92" i="6"/>
  <c r="E92" i="6"/>
  <c r="E91" i="6"/>
  <c r="F91" i="6" s="1"/>
  <c r="F90" i="6"/>
  <c r="E90" i="6"/>
  <c r="F89" i="6"/>
  <c r="E89" i="6"/>
  <c r="E88" i="6"/>
  <c r="F88" i="6" s="1"/>
  <c r="F87" i="6"/>
  <c r="E87" i="6"/>
  <c r="F86" i="6"/>
  <c r="E86" i="6"/>
  <c r="F85" i="6"/>
  <c r="E85" i="6"/>
  <c r="F84" i="6"/>
  <c r="E84" i="6"/>
  <c r="F83" i="6"/>
  <c r="E83" i="6"/>
  <c r="E82" i="6"/>
  <c r="F82" i="6" s="1"/>
  <c r="E81" i="6"/>
  <c r="F81" i="6" s="1"/>
  <c r="F80" i="6"/>
  <c r="E80" i="6"/>
  <c r="E79" i="6"/>
  <c r="F79" i="6" s="1"/>
  <c r="F78" i="6"/>
  <c r="E78" i="6"/>
  <c r="F77" i="6"/>
  <c r="E77" i="6"/>
  <c r="E76" i="6"/>
  <c r="F76" i="6" s="1"/>
  <c r="F75" i="6"/>
  <c r="E75" i="6"/>
  <c r="F74" i="6"/>
  <c r="E74" i="6"/>
  <c r="F73" i="6"/>
  <c r="E73" i="6"/>
  <c r="F72" i="6"/>
  <c r="E72" i="6"/>
  <c r="F71" i="6"/>
  <c r="E71" i="6"/>
  <c r="E70" i="6"/>
  <c r="F70" i="6" s="1"/>
  <c r="E69" i="6"/>
  <c r="F69" i="6" s="1"/>
  <c r="F68" i="6"/>
  <c r="E68" i="6"/>
  <c r="E67" i="6"/>
  <c r="F67" i="6" s="1"/>
  <c r="F66" i="6"/>
  <c r="E66" i="6"/>
  <c r="F65" i="6"/>
  <c r="E65" i="6"/>
  <c r="E64" i="6"/>
  <c r="F64" i="6" s="1"/>
  <c r="F63" i="6"/>
  <c r="E63" i="6"/>
  <c r="F62" i="6"/>
  <c r="E62" i="6"/>
  <c r="F61" i="6"/>
  <c r="E61" i="6"/>
  <c r="F60" i="6"/>
  <c r="E60" i="6"/>
  <c r="F59" i="6"/>
  <c r="E59" i="6"/>
  <c r="E58" i="6"/>
  <c r="F58" i="6" s="1"/>
  <c r="E57" i="6"/>
  <c r="F57" i="6" s="1"/>
  <c r="F56" i="6"/>
  <c r="E56" i="6"/>
  <c r="E55" i="6"/>
  <c r="F55" i="6" s="1"/>
  <c r="F54" i="6"/>
  <c r="E54" i="6"/>
  <c r="F53" i="6"/>
  <c r="E53" i="6"/>
  <c r="E52" i="6"/>
  <c r="F52" i="6" s="1"/>
  <c r="F51" i="6"/>
  <c r="E51" i="6"/>
  <c r="F50" i="6"/>
  <c r="E50" i="6"/>
  <c r="F49" i="6"/>
  <c r="E49" i="6"/>
  <c r="F48" i="6"/>
  <c r="E48" i="6"/>
  <c r="F47" i="6"/>
  <c r="E47" i="6"/>
  <c r="E46" i="6"/>
  <c r="F46" i="6" s="1"/>
  <c r="E45" i="6"/>
  <c r="F45" i="6" s="1"/>
  <c r="F44" i="6"/>
  <c r="E44" i="6"/>
  <c r="E43" i="6"/>
  <c r="F43" i="6" s="1"/>
  <c r="F42" i="6"/>
  <c r="E42" i="6"/>
  <c r="F41" i="6"/>
  <c r="E41" i="6"/>
  <c r="E40" i="6"/>
  <c r="F40" i="6" s="1"/>
  <c r="F39" i="6"/>
  <c r="E39" i="6"/>
  <c r="F38" i="6"/>
  <c r="E38" i="6"/>
  <c r="F37" i="6"/>
  <c r="E37" i="6"/>
  <c r="F36" i="6"/>
  <c r="E36" i="6"/>
  <c r="F35" i="6"/>
  <c r="E35" i="6"/>
  <c r="E34" i="6"/>
  <c r="F34" i="6" s="1"/>
  <c r="E33" i="6"/>
  <c r="F33" i="6" s="1"/>
  <c r="F32" i="6"/>
  <c r="E32" i="6"/>
  <c r="E31" i="6"/>
  <c r="F31" i="6" s="1"/>
  <c r="F30" i="6"/>
  <c r="E30" i="6"/>
  <c r="F29" i="6"/>
  <c r="E29" i="6"/>
  <c r="E28" i="6"/>
  <c r="F28" i="6" s="1"/>
  <c r="F27" i="6"/>
  <c r="E27" i="6"/>
  <c r="F26" i="6"/>
  <c r="E26" i="6"/>
  <c r="F25" i="6"/>
  <c r="E25" i="6"/>
  <c r="F24" i="6"/>
  <c r="E24" i="6"/>
  <c r="F23" i="6"/>
  <c r="E23" i="6"/>
  <c r="E22" i="6"/>
  <c r="F22" i="6" s="1"/>
  <c r="E21" i="6"/>
  <c r="F21" i="6" s="1"/>
  <c r="F20" i="6"/>
  <c r="E20" i="6"/>
  <c r="E19" i="6"/>
  <c r="F19" i="6" s="1"/>
  <c r="F18" i="6"/>
  <c r="E18" i="6"/>
  <c r="F17" i="6"/>
  <c r="E17" i="6"/>
  <c r="E16" i="6"/>
  <c r="F16" i="6" s="1"/>
  <c r="F15" i="6"/>
  <c r="E15" i="6"/>
  <c r="F14" i="6"/>
  <c r="E14" i="6"/>
  <c r="F13" i="6"/>
  <c r="E13" i="6"/>
  <c r="F12" i="6"/>
  <c r="E12" i="6"/>
  <c r="F11" i="6"/>
  <c r="E11" i="6"/>
  <c r="E10" i="6"/>
  <c r="F10" i="6" s="1"/>
  <c r="E9" i="6"/>
  <c r="F9" i="6" s="1"/>
  <c r="F8" i="6"/>
  <c r="E8" i="6"/>
  <c r="E7" i="6"/>
  <c r="F7" i="6" s="1"/>
  <c r="F6" i="6"/>
  <c r="E6" i="6"/>
  <c r="F5" i="6"/>
  <c r="E5" i="6"/>
  <c r="E4" i="6"/>
  <c r="F4" i="6" s="1"/>
  <c r="F3" i="6"/>
  <c r="E3" i="6"/>
  <c r="F2" i="6"/>
  <c r="E2" i="6"/>
  <c r="F265" i="5"/>
  <c r="E265" i="5"/>
  <c r="F264" i="5"/>
  <c r="E264" i="5"/>
  <c r="F263" i="5"/>
  <c r="E263" i="5"/>
  <c r="E262" i="5"/>
  <c r="F262" i="5" s="1"/>
  <c r="F261" i="5"/>
  <c r="E261" i="5"/>
  <c r="F260" i="5"/>
  <c r="E260" i="5"/>
  <c r="E259" i="5"/>
  <c r="F259" i="5" s="1"/>
  <c r="F258" i="5"/>
  <c r="E258" i="5"/>
  <c r="F257" i="5"/>
  <c r="E257" i="5"/>
  <c r="E256" i="5"/>
  <c r="F256" i="5" s="1"/>
  <c r="F255" i="5"/>
  <c r="E255" i="5"/>
  <c r="F254" i="5"/>
  <c r="E254" i="5"/>
  <c r="F253" i="5"/>
  <c r="E253" i="5"/>
  <c r="F252" i="5"/>
  <c r="E252" i="5"/>
  <c r="F251" i="5"/>
  <c r="E251" i="5"/>
  <c r="E250" i="5"/>
  <c r="F250" i="5" s="1"/>
  <c r="E249" i="5"/>
  <c r="F249" i="5" s="1"/>
  <c r="F248" i="5"/>
  <c r="E248" i="5"/>
  <c r="E247" i="5"/>
  <c r="F247" i="5" s="1"/>
  <c r="F246" i="5"/>
  <c r="E246" i="5"/>
  <c r="F245" i="5"/>
  <c r="E245" i="5"/>
  <c r="E244" i="5"/>
  <c r="F244" i="5" s="1"/>
  <c r="F243" i="5"/>
  <c r="E243" i="5"/>
  <c r="F242" i="5"/>
  <c r="E242" i="5"/>
  <c r="F241" i="5"/>
  <c r="E241" i="5"/>
  <c r="F240" i="5"/>
  <c r="E240" i="5"/>
  <c r="F239" i="5"/>
  <c r="E239" i="5"/>
  <c r="E238" i="5"/>
  <c r="F238" i="5" s="1"/>
  <c r="E237" i="5"/>
  <c r="F237" i="5" s="1"/>
  <c r="F236" i="5"/>
  <c r="E236" i="5"/>
  <c r="E235" i="5"/>
  <c r="F235" i="5" s="1"/>
  <c r="F234" i="5"/>
  <c r="E234" i="5"/>
  <c r="F233" i="5"/>
  <c r="E233" i="5"/>
  <c r="E232" i="5"/>
  <c r="F232" i="5" s="1"/>
  <c r="F231" i="5"/>
  <c r="E231" i="5"/>
  <c r="F230" i="5"/>
  <c r="E230" i="5"/>
  <c r="F229" i="5"/>
  <c r="E229" i="5"/>
  <c r="F228" i="5"/>
  <c r="E228" i="5"/>
  <c r="F227" i="5"/>
  <c r="E227" i="5"/>
  <c r="E226" i="5"/>
  <c r="F226" i="5" s="1"/>
  <c r="E225" i="5"/>
  <c r="F225" i="5" s="1"/>
  <c r="F224" i="5"/>
  <c r="E224" i="5"/>
  <c r="E223" i="5"/>
  <c r="F223" i="5" s="1"/>
  <c r="F222" i="5"/>
  <c r="E222" i="5"/>
  <c r="F221" i="5"/>
  <c r="E221" i="5"/>
  <c r="E220" i="5"/>
  <c r="F220" i="5" s="1"/>
  <c r="F219" i="5"/>
  <c r="E219" i="5"/>
  <c r="F218" i="5"/>
  <c r="E218" i="5"/>
  <c r="F217" i="5"/>
  <c r="E217" i="5"/>
  <c r="F216" i="5"/>
  <c r="E216" i="5"/>
  <c r="F215" i="5"/>
  <c r="E215" i="5"/>
  <c r="E214" i="5"/>
  <c r="F214" i="5" s="1"/>
  <c r="E213" i="5"/>
  <c r="F213" i="5" s="1"/>
  <c r="F212" i="5"/>
  <c r="E212" i="5"/>
  <c r="E211" i="5"/>
  <c r="F211" i="5" s="1"/>
  <c r="F210" i="5"/>
  <c r="E210" i="5"/>
  <c r="F209" i="5"/>
  <c r="E209" i="5"/>
  <c r="E208" i="5"/>
  <c r="F208" i="5" s="1"/>
  <c r="F207" i="5"/>
  <c r="E207" i="5"/>
  <c r="F206" i="5"/>
  <c r="E206" i="5"/>
  <c r="F205" i="5"/>
  <c r="E205" i="5"/>
  <c r="F204" i="5"/>
  <c r="E204" i="5"/>
  <c r="F203" i="5"/>
  <c r="E203" i="5"/>
  <c r="E202" i="5"/>
  <c r="F202" i="5" s="1"/>
  <c r="E201" i="5"/>
  <c r="F201" i="5" s="1"/>
  <c r="F200" i="5"/>
  <c r="E200" i="5"/>
  <c r="E199" i="5"/>
  <c r="F199" i="5" s="1"/>
  <c r="F198" i="5"/>
  <c r="E198" i="5"/>
  <c r="F197" i="5"/>
  <c r="E197" i="5"/>
  <c r="E196" i="5"/>
  <c r="F196" i="5" s="1"/>
  <c r="F195" i="5"/>
  <c r="E195" i="5"/>
  <c r="F194" i="5"/>
  <c r="E194" i="5"/>
  <c r="F193" i="5"/>
  <c r="E193" i="5"/>
  <c r="F192" i="5"/>
  <c r="E192" i="5"/>
  <c r="F191" i="5"/>
  <c r="E191" i="5"/>
  <c r="E190" i="5"/>
  <c r="F190" i="5" s="1"/>
  <c r="E189" i="5"/>
  <c r="F189" i="5" s="1"/>
  <c r="F188" i="5"/>
  <c r="E188" i="5"/>
  <c r="E187" i="5"/>
  <c r="F187" i="5" s="1"/>
  <c r="F186" i="5"/>
  <c r="E186" i="5"/>
  <c r="F185" i="5"/>
  <c r="E185" i="5"/>
  <c r="E184" i="5"/>
  <c r="F184" i="5" s="1"/>
  <c r="F183" i="5"/>
  <c r="E183" i="5"/>
  <c r="F182" i="5"/>
  <c r="E182" i="5"/>
  <c r="F181" i="5"/>
  <c r="E181" i="5"/>
  <c r="F180" i="5"/>
  <c r="E180" i="5"/>
  <c r="F179" i="5"/>
  <c r="E179" i="5"/>
  <c r="E178" i="5"/>
  <c r="F178" i="5" s="1"/>
  <c r="E177" i="5"/>
  <c r="F177" i="5" s="1"/>
  <c r="F176" i="5"/>
  <c r="E176" i="5"/>
  <c r="E175" i="5"/>
  <c r="F175" i="5" s="1"/>
  <c r="F174" i="5"/>
  <c r="E174" i="5"/>
  <c r="F173" i="5"/>
  <c r="E173" i="5"/>
  <c r="E172" i="5"/>
  <c r="F172" i="5" s="1"/>
  <c r="F171" i="5"/>
  <c r="E171" i="5"/>
  <c r="F170" i="5"/>
  <c r="E170" i="5"/>
  <c r="F169" i="5"/>
  <c r="E169" i="5"/>
  <c r="F168" i="5"/>
  <c r="E168" i="5"/>
  <c r="F167" i="5"/>
  <c r="E167" i="5"/>
  <c r="E166" i="5"/>
  <c r="F166" i="5" s="1"/>
  <c r="E165" i="5"/>
  <c r="F165" i="5" s="1"/>
  <c r="F164" i="5"/>
  <c r="E164" i="5"/>
  <c r="E163" i="5"/>
  <c r="F163" i="5" s="1"/>
  <c r="F162" i="5"/>
  <c r="E162" i="5"/>
  <c r="F161" i="5"/>
  <c r="E161" i="5"/>
  <c r="E160" i="5"/>
  <c r="F160" i="5" s="1"/>
  <c r="F159" i="5"/>
  <c r="E159" i="5"/>
  <c r="F158" i="5"/>
  <c r="E158" i="5"/>
  <c r="F157" i="5"/>
  <c r="E157" i="5"/>
  <c r="F156" i="5"/>
  <c r="E156" i="5"/>
  <c r="F155" i="5"/>
  <c r="E155" i="5"/>
  <c r="E154" i="5"/>
  <c r="F154" i="5" s="1"/>
  <c r="E153" i="5"/>
  <c r="F153" i="5" s="1"/>
  <c r="F152" i="5"/>
  <c r="E152" i="5"/>
  <c r="E151" i="5"/>
  <c r="F151" i="5" s="1"/>
  <c r="F150" i="5"/>
  <c r="E150" i="5"/>
  <c r="F149" i="5"/>
  <c r="E149" i="5"/>
  <c r="E148" i="5"/>
  <c r="F148" i="5" s="1"/>
  <c r="F147" i="5"/>
  <c r="E147" i="5"/>
  <c r="F146" i="5"/>
  <c r="E146" i="5"/>
  <c r="F145" i="5"/>
  <c r="E145" i="5"/>
  <c r="F144" i="5"/>
  <c r="E144" i="5"/>
  <c r="F143" i="5"/>
  <c r="E143" i="5"/>
  <c r="E142" i="5"/>
  <c r="F142" i="5" s="1"/>
  <c r="E141" i="5"/>
  <c r="F141" i="5" s="1"/>
  <c r="F140" i="5"/>
  <c r="E140" i="5"/>
  <c r="E139" i="5"/>
  <c r="F139" i="5" s="1"/>
  <c r="F138" i="5"/>
  <c r="E138" i="5"/>
  <c r="F137" i="5"/>
  <c r="E137" i="5"/>
  <c r="E136" i="5"/>
  <c r="F136" i="5" s="1"/>
  <c r="F135" i="5"/>
  <c r="E135" i="5"/>
  <c r="F134" i="5"/>
  <c r="E134" i="5"/>
  <c r="F133" i="5"/>
  <c r="E133" i="5"/>
  <c r="F132" i="5"/>
  <c r="E132" i="5"/>
  <c r="F131" i="5"/>
  <c r="E131" i="5"/>
  <c r="F130" i="5"/>
  <c r="E130" i="5"/>
  <c r="E129" i="5"/>
  <c r="F129" i="5" s="1"/>
  <c r="F128" i="5"/>
  <c r="E128" i="5"/>
  <c r="E127" i="5"/>
  <c r="F127" i="5" s="1"/>
  <c r="F126" i="5"/>
  <c r="E126" i="5"/>
  <c r="F125" i="5"/>
  <c r="E125" i="5"/>
  <c r="E124" i="5"/>
  <c r="F124" i="5" s="1"/>
  <c r="F123" i="5"/>
  <c r="E123" i="5"/>
  <c r="F122" i="5"/>
  <c r="E122" i="5"/>
  <c r="F121" i="5"/>
  <c r="E121" i="5"/>
  <c r="F120" i="5"/>
  <c r="E120" i="5"/>
  <c r="F119" i="5"/>
  <c r="E119" i="5"/>
  <c r="E118" i="5"/>
  <c r="F118" i="5" s="1"/>
  <c r="E117" i="5"/>
  <c r="F117" i="5" s="1"/>
  <c r="F116" i="5"/>
  <c r="E116" i="5"/>
  <c r="E115" i="5"/>
  <c r="F115" i="5" s="1"/>
  <c r="F114" i="5"/>
  <c r="E114" i="5"/>
  <c r="F113" i="5"/>
  <c r="E113" i="5"/>
  <c r="E112" i="5"/>
  <c r="F112" i="5" s="1"/>
  <c r="F111" i="5"/>
  <c r="E111" i="5"/>
  <c r="F110" i="5"/>
  <c r="E110" i="5"/>
  <c r="F109" i="5"/>
  <c r="E109" i="5"/>
  <c r="F108" i="5"/>
  <c r="E108" i="5"/>
  <c r="F107" i="5"/>
  <c r="E107" i="5"/>
  <c r="E106" i="5"/>
  <c r="F106" i="5" s="1"/>
  <c r="E105" i="5"/>
  <c r="F105" i="5" s="1"/>
  <c r="F104" i="5"/>
  <c r="E104" i="5"/>
  <c r="E103" i="5"/>
  <c r="F103" i="5" s="1"/>
  <c r="F102" i="5"/>
  <c r="E102" i="5"/>
  <c r="F101" i="5"/>
  <c r="E101" i="5"/>
  <c r="E100" i="5"/>
  <c r="F100" i="5" s="1"/>
  <c r="F99" i="5"/>
  <c r="E99" i="5"/>
  <c r="F98" i="5"/>
  <c r="E98" i="5"/>
  <c r="F97" i="5"/>
  <c r="E97" i="5"/>
  <c r="F96" i="5"/>
  <c r="E96" i="5"/>
  <c r="F95" i="5"/>
  <c r="E95" i="5"/>
  <c r="E94" i="5"/>
  <c r="F94" i="5" s="1"/>
  <c r="E93" i="5"/>
  <c r="F93" i="5" s="1"/>
  <c r="F92" i="5"/>
  <c r="E92" i="5"/>
  <c r="E91" i="5"/>
  <c r="F91" i="5" s="1"/>
  <c r="F90" i="5"/>
  <c r="E90" i="5"/>
  <c r="F89" i="5"/>
  <c r="E89" i="5"/>
  <c r="E88" i="5"/>
  <c r="F88" i="5" s="1"/>
  <c r="F87" i="5"/>
  <c r="E87" i="5"/>
  <c r="F86" i="5"/>
  <c r="E86" i="5"/>
  <c r="F85" i="5"/>
  <c r="E85" i="5"/>
  <c r="F84" i="5"/>
  <c r="E84" i="5"/>
  <c r="F83" i="5"/>
  <c r="E83" i="5"/>
  <c r="E82" i="5"/>
  <c r="F82" i="5" s="1"/>
  <c r="E81" i="5"/>
  <c r="F81" i="5" s="1"/>
  <c r="F80" i="5"/>
  <c r="E80" i="5"/>
  <c r="E79" i="5"/>
  <c r="F79" i="5" s="1"/>
  <c r="F78" i="5"/>
  <c r="E78" i="5"/>
  <c r="F77" i="5"/>
  <c r="E77" i="5"/>
  <c r="E76" i="5"/>
  <c r="F76" i="5" s="1"/>
  <c r="F75" i="5"/>
  <c r="E75" i="5"/>
  <c r="F74" i="5"/>
  <c r="E74" i="5"/>
  <c r="F73" i="5"/>
  <c r="E73" i="5"/>
  <c r="F72" i="5"/>
  <c r="E72" i="5"/>
  <c r="F71" i="5"/>
  <c r="E71" i="5"/>
  <c r="E70" i="5"/>
  <c r="F70" i="5" s="1"/>
  <c r="E69" i="5"/>
  <c r="F69" i="5" s="1"/>
  <c r="F68" i="5"/>
  <c r="E68" i="5"/>
  <c r="E67" i="5"/>
  <c r="F67" i="5" s="1"/>
  <c r="F66" i="5"/>
  <c r="E66" i="5"/>
  <c r="F65" i="5"/>
  <c r="E65" i="5"/>
  <c r="E64" i="5"/>
  <c r="F64" i="5" s="1"/>
  <c r="F63" i="5"/>
  <c r="E63" i="5"/>
  <c r="F62" i="5"/>
  <c r="E62" i="5"/>
  <c r="F61" i="5"/>
  <c r="E61" i="5"/>
  <c r="F60" i="5"/>
  <c r="E60" i="5"/>
  <c r="F59" i="5"/>
  <c r="E59" i="5"/>
  <c r="E58" i="5"/>
  <c r="F58" i="5" s="1"/>
  <c r="E57" i="5"/>
  <c r="F57" i="5" s="1"/>
  <c r="F56" i="5"/>
  <c r="E56" i="5"/>
  <c r="E55" i="5"/>
  <c r="F55" i="5" s="1"/>
  <c r="F54" i="5"/>
  <c r="E54" i="5"/>
  <c r="F53" i="5"/>
  <c r="E53" i="5"/>
  <c r="E52" i="5"/>
  <c r="F52" i="5" s="1"/>
  <c r="F51" i="5"/>
  <c r="E51" i="5"/>
  <c r="F50" i="5"/>
  <c r="E50" i="5"/>
  <c r="F49" i="5"/>
  <c r="E49" i="5"/>
  <c r="F48" i="5"/>
  <c r="E48" i="5"/>
  <c r="F47" i="5"/>
  <c r="E47" i="5"/>
  <c r="E46" i="5"/>
  <c r="F46" i="5" s="1"/>
  <c r="E45" i="5"/>
  <c r="F45" i="5" s="1"/>
  <c r="F44" i="5"/>
  <c r="E44" i="5"/>
  <c r="E43" i="5"/>
  <c r="F43" i="5" s="1"/>
  <c r="F42" i="5"/>
  <c r="E42" i="5"/>
  <c r="F41" i="5"/>
  <c r="E41" i="5"/>
  <c r="E40" i="5"/>
  <c r="F40" i="5" s="1"/>
  <c r="F39" i="5"/>
  <c r="E39" i="5"/>
  <c r="F38" i="5"/>
  <c r="E38" i="5"/>
  <c r="F37" i="5"/>
  <c r="E37" i="5"/>
  <c r="F36" i="5"/>
  <c r="E36" i="5"/>
  <c r="F35" i="5"/>
  <c r="E35" i="5"/>
  <c r="E34" i="5"/>
  <c r="F34" i="5" s="1"/>
  <c r="E33" i="5"/>
  <c r="F33" i="5" s="1"/>
  <c r="F32" i="5"/>
  <c r="E32" i="5"/>
  <c r="E31" i="5"/>
  <c r="F31" i="5" s="1"/>
  <c r="F30" i="5"/>
  <c r="E30" i="5"/>
  <c r="F29" i="5"/>
  <c r="E29" i="5"/>
  <c r="E28" i="5"/>
  <c r="F28" i="5" s="1"/>
  <c r="F27" i="5"/>
  <c r="E27" i="5"/>
  <c r="F26" i="5"/>
  <c r="E26" i="5"/>
  <c r="F25" i="5"/>
  <c r="E25" i="5"/>
  <c r="F24" i="5"/>
  <c r="E24" i="5"/>
  <c r="F23" i="5"/>
  <c r="E23" i="5"/>
  <c r="E22" i="5"/>
  <c r="F22" i="5" s="1"/>
  <c r="E21" i="5"/>
  <c r="F21" i="5" s="1"/>
  <c r="F20" i="5"/>
  <c r="E20" i="5"/>
  <c r="E19" i="5"/>
  <c r="F19" i="5" s="1"/>
  <c r="F18" i="5"/>
  <c r="E18" i="5"/>
  <c r="F17" i="5"/>
  <c r="E17" i="5"/>
  <c r="E16" i="5"/>
  <c r="F16" i="5" s="1"/>
  <c r="F15" i="5"/>
  <c r="E15" i="5"/>
  <c r="F14" i="5"/>
  <c r="E14" i="5"/>
  <c r="F13" i="5"/>
  <c r="E13" i="5"/>
  <c r="F12" i="5"/>
  <c r="E12" i="5"/>
  <c r="F11" i="5"/>
  <c r="E11" i="5"/>
  <c r="E10" i="5"/>
  <c r="F10" i="5" s="1"/>
  <c r="E9" i="5"/>
  <c r="F9" i="5" s="1"/>
  <c r="F8" i="5"/>
  <c r="E8" i="5"/>
  <c r="E7" i="5"/>
  <c r="F7" i="5" s="1"/>
  <c r="F6" i="5"/>
  <c r="E6" i="5"/>
  <c r="F5" i="5"/>
  <c r="E5" i="5"/>
  <c r="E4" i="5"/>
  <c r="F4" i="5" s="1"/>
  <c r="F3" i="5"/>
  <c r="E3" i="5"/>
  <c r="F2" i="5"/>
  <c r="E2" i="5"/>
  <c r="F38" i="4"/>
  <c r="E38" i="4"/>
  <c r="F37" i="4"/>
  <c r="E37" i="4"/>
  <c r="F36" i="4"/>
  <c r="E36" i="4"/>
  <c r="E35" i="4"/>
  <c r="F35" i="4" s="1"/>
  <c r="E34" i="4"/>
  <c r="F34" i="4" s="1"/>
  <c r="F33" i="4"/>
  <c r="E33" i="4"/>
  <c r="E32" i="4"/>
  <c r="F32" i="4" s="1"/>
  <c r="F31" i="4"/>
  <c r="E31" i="4"/>
  <c r="F30" i="4"/>
  <c r="E30" i="4"/>
  <c r="E29" i="4"/>
  <c r="F29" i="4" s="1"/>
  <c r="F28" i="4"/>
  <c r="E28" i="4"/>
  <c r="F27" i="4"/>
  <c r="E27" i="4"/>
  <c r="F26" i="4"/>
  <c r="E26" i="4"/>
  <c r="F25" i="4"/>
  <c r="E25" i="4"/>
  <c r="F24" i="4"/>
  <c r="E24" i="4"/>
  <c r="E23" i="4"/>
  <c r="F23" i="4" s="1"/>
  <c r="E22" i="4"/>
  <c r="F22" i="4" s="1"/>
  <c r="F21" i="4"/>
  <c r="E21" i="4"/>
  <c r="E20" i="4"/>
  <c r="F20" i="4" s="1"/>
  <c r="F19" i="4"/>
  <c r="E19" i="4"/>
  <c r="F18" i="4"/>
  <c r="E18" i="4"/>
  <c r="E17" i="4"/>
  <c r="F17" i="4" s="1"/>
  <c r="F16" i="4"/>
  <c r="E16" i="4"/>
  <c r="F14" i="4"/>
  <c r="E14" i="4"/>
  <c r="F13" i="4"/>
  <c r="E13" i="4"/>
  <c r="F12" i="4"/>
  <c r="E12" i="4"/>
  <c r="F11" i="4"/>
  <c r="E11" i="4"/>
  <c r="E10" i="4"/>
  <c r="F10" i="4" s="1"/>
  <c r="E8" i="4"/>
  <c r="F8" i="4" s="1"/>
  <c r="F7" i="4"/>
  <c r="E7" i="4"/>
  <c r="E6" i="4"/>
  <c r="F6" i="4" s="1"/>
  <c r="F5" i="4"/>
  <c r="E5" i="4"/>
  <c r="F4" i="4"/>
  <c r="E4" i="4"/>
  <c r="E3" i="4"/>
  <c r="F3" i="4" s="1"/>
  <c r="F38" i="3"/>
  <c r="E38" i="3"/>
  <c r="F37" i="3"/>
  <c r="E37" i="3"/>
  <c r="F36" i="3"/>
  <c r="E36" i="3"/>
  <c r="F35" i="3"/>
  <c r="E35" i="3"/>
  <c r="F34" i="3"/>
  <c r="E34" i="3"/>
  <c r="F33" i="3"/>
  <c r="E33" i="3"/>
  <c r="E32" i="3"/>
  <c r="F32" i="3" s="1"/>
  <c r="F31" i="3"/>
  <c r="E31" i="3"/>
  <c r="E30" i="3"/>
  <c r="F30" i="3" s="1"/>
  <c r="F29" i="3"/>
  <c r="E29" i="3"/>
  <c r="F28" i="3"/>
  <c r="E28" i="3"/>
  <c r="E27" i="3"/>
  <c r="F27" i="3" s="1"/>
  <c r="F26" i="3"/>
  <c r="E26" i="3"/>
  <c r="F25" i="3"/>
  <c r="E25" i="3"/>
  <c r="F24" i="3"/>
  <c r="E24" i="3"/>
  <c r="F23" i="3"/>
  <c r="E23" i="3"/>
  <c r="F22" i="3"/>
  <c r="E22" i="3"/>
  <c r="F21" i="3"/>
  <c r="E21" i="3"/>
  <c r="E20" i="3"/>
  <c r="F20" i="3" s="1"/>
  <c r="F19" i="3"/>
  <c r="E19" i="3"/>
  <c r="E18" i="3"/>
  <c r="F18" i="3" s="1"/>
  <c r="F17" i="3"/>
  <c r="E17" i="3"/>
  <c r="F16" i="3"/>
  <c r="E16" i="3"/>
  <c r="E14" i="3"/>
  <c r="F14" i="3" s="1"/>
  <c r="F13" i="3"/>
  <c r="E13" i="3"/>
  <c r="F12" i="3"/>
  <c r="E12" i="3"/>
  <c r="F11" i="3"/>
  <c r="E11" i="3"/>
  <c r="F10" i="3"/>
  <c r="E10" i="3"/>
  <c r="F8" i="3"/>
  <c r="E8" i="3"/>
  <c r="F7" i="3"/>
  <c r="E7" i="3"/>
  <c r="E6" i="3"/>
  <c r="F6" i="3" s="1"/>
  <c r="F5" i="3"/>
  <c r="E5" i="3"/>
  <c r="E4" i="3"/>
  <c r="F4" i="3" s="1"/>
  <c r="F3" i="3"/>
  <c r="E3" i="3"/>
  <c r="F15" i="9" l="1"/>
  <c r="E15" i="9"/>
  <c r="F20" i="9"/>
  <c r="F32" i="9" s="1"/>
</calcChain>
</file>

<file path=xl/sharedStrings.xml><?xml version="1.0" encoding="utf-8"?>
<sst xmlns="http://schemas.openxmlformats.org/spreadsheetml/2006/main" count="1879" uniqueCount="697">
  <si>
    <t>SHADOW6 // MARGE — 2023 vs 2024 ANALYSIS</t>
  </si>
  <si>
    <t>SHADOW6 EYES ONLY // PREPARED FOR: JAYE MILLER</t>
  </si>
  <si>
    <t>Revenue Change</t>
  </si>
  <si>
    <t>Gross Profit Change</t>
  </si>
  <si>
    <t>Net Income Swing</t>
  </si>
  <si>
    <t>Payroll Increase</t>
  </si>
  <si>
    <t>-$310,750 / -7.95%</t>
  </si>
  <si>
    <t>-$27,416 / -1.51%</t>
  </si>
  <si>
    <t>$106,087 → -$95,092 / -189.8%</t>
  </si>
  <si>
    <t>+$118,826 / +13.07%</t>
  </si>
  <si>
    <t>THE STORY: WHY 2024 BROKE</t>
  </si>
  <si>
    <t>CRITICAL: Payroll Explosion</t>
  </si>
  <si>
    <t>Wages jumped 13.07% despite 7.95% revenue decline. Added $118,826 in annual labor costs at lower revenue base.</t>
  </si>
  <si>
    <t>CRITICAL: Facility Expansion at Wrong Time</t>
  </si>
  <si>
    <t>Rent increased 24.36% ($32,337) in a year of declining revenue. Fixed cost trap.</t>
  </si>
  <si>
    <t>MAJOR: Insurance Costs Skyrocketed</t>
  </si>
  <si>
    <t>Health insurance up 60.84%, liability up 32.29%. Total insurance increase: +$24,435. Employee-heavy model exposed.</t>
  </si>
  <si>
    <t>SIGNIFICANT: Bad Debt Explosion</t>
  </si>
  <si>
    <t>Bad debt spiked 2,476% from $216 to $5,555. Collection and credit policy failure.</t>
  </si>
  <si>
    <t>IMPORTANT: Professional Services Doubled</t>
  </si>
  <si>
    <t>3rd Party Consulting +110.52% ($26K). Over-reliance on external support during crisis.</t>
  </si>
  <si>
    <t>STRUCTURAL: Cost Structure Unsustainable</t>
  </si>
  <si>
    <t>Operating expenses grew 9.97% while revenue fell 7.95%. Cost-to-revenue ratio deteriorated from 43.9% to 52.5%.</t>
  </si>
  <si>
    <t>Positive: COGS Management Excellent</t>
  </si>
  <si>
    <t>COGS fell 13.60% despite revenue decline. Gross margins improved from 46.5% to 49.8%. Product/vendor efficiency strong.</t>
  </si>
  <si>
    <t>Positive: Interest Expense Declined</t>
  </si>
  <si>
    <t>Debt reduction paid off - interest fell $13,196 (65.9%). Good financial management.</t>
  </si>
  <si>
    <t>SHADOW6 // MARGE — 2024 vs 2025 ANALYSIS</t>
  </si>
  <si>
    <t>Net Income Improvement</t>
  </si>
  <si>
    <t>Payroll Growth</t>
  </si>
  <si>
    <t>+$453,471 / +12.63%</t>
  </si>
  <si>
    <t>+$244,048 / +13.65%</t>
  </si>
  <si>
    <t>-$95,092 → -$24,725 / +74.0%</t>
  </si>
  <si>
    <t>+$74,697 / +7.27%</t>
  </si>
  <si>
    <t>THE STORY: THE PARTIAL RECOVERY</t>
  </si>
  <si>
    <t>POSITIVE: Revenue Growth Returned</t>
  </si>
  <si>
    <t>Revenue up 12.63% ($453K) driven by shipping +31%, consignment +19%. Volume growth is real and diversified.</t>
  </si>
  <si>
    <t>POSITIVE: Gross Margin Improved Again</t>
  </si>
  <si>
    <t>Gross margin up 13.65% ($244K). Operating at 50.3% gross margin - best level in 3 years. Product efficiency peak.</t>
  </si>
  <si>
    <t>POSITIVE: Payroll Growth Controlled</t>
  </si>
  <si>
    <t>Wage growth at 7.27% is HALF the 13.07% spike in 2024. Labor discipline improving.</t>
  </si>
  <si>
    <t>POSITIVE: Bad Debt Crisis Resolved</t>
  </si>
  <si>
    <t>Bad debt plummeted 89.6% from $5,555 to $578. Collection policies working.</t>
  </si>
  <si>
    <t>CONCERN: Huge New Customer-Related Costs</t>
  </si>
  <si>
    <t>Shopify - HM Magazine exploded from $46K to $473K (+927%). Contract labor added $30K. Integration costs high.</t>
  </si>
  <si>
    <t>CONCERN: Operating Expenses Still Growing Faster Than Ideal</t>
  </si>
  <si>
    <t>OpEx up 9.19% ($173K) vs revenue growth of 12.63%. Still not enough leverage. Net margin only -0.61%.</t>
  </si>
  <si>
    <t>CONCERN: Payment Collection Deteriorated</t>
  </si>
  <si>
    <t>37 unpaid invoices ($60.6K outstanding). Net 30 terms relaxed vs Net 10 in 2024. Credit risk elevated.</t>
  </si>
  <si>
    <t>CRITICAL: Still Overall Unprofitable</t>
  </si>
  <si>
    <t>Despite excellent revenue recovery and gross margin, company STILL loses $24.7K. October alone carried Q4. Q1-Q3 deeply negative.</t>
  </si>
  <si>
    <t>Line Item</t>
  </si>
  <si>
    <t>2023 Amount</t>
  </si>
  <si>
    <t>2024 Amount</t>
  </si>
  <si>
    <t>$ Change</t>
  </si>
  <si>
    <t>% Change</t>
  </si>
  <si>
    <t>Marge's Flag</t>
  </si>
  <si>
    <t>REVENUE</t>
  </si>
  <si>
    <t>Consign Fulfillment</t>
  </si>
  <si>
    <t>OK</t>
  </si>
  <si>
    <t>Full Services</t>
  </si>
  <si>
    <t>Manufacturing (MFTR)</t>
  </si>
  <si>
    <t>Shipping</t>
  </si>
  <si>
    <t>Other</t>
  </si>
  <si>
    <t>TOTAL REVENUE</t>
  </si>
  <si>
    <t>COST OF GOODS SOLD</t>
  </si>
  <si>
    <t>Consign Costs</t>
  </si>
  <si>
    <t>Manufacturing Costs</t>
  </si>
  <si>
    <t>Shipping Costs</t>
  </si>
  <si>
    <t>TOTAL COGS</t>
  </si>
  <si>
    <t>GROSS PROFIT</t>
  </si>
  <si>
    <t>OPERATING EXPENSES</t>
  </si>
  <si>
    <t>Wages</t>
  </si>
  <si>
    <t>Payroll Taxes</t>
  </si>
  <si>
    <t>Health Insurance</t>
  </si>
  <si>
    <t>Rent</t>
  </si>
  <si>
    <t>3rd Party Consulting</t>
  </si>
  <si>
    <t>Bad Debt</t>
  </si>
  <si>
    <t>Bank &amp; Credit Card Fees</t>
  </si>
  <si>
    <t>Liability Insurance</t>
  </si>
  <si>
    <t>Web Applications</t>
  </si>
  <si>
    <t>Shipping Supplies</t>
  </si>
  <si>
    <t>Supplies</t>
  </si>
  <si>
    <t>Interest Expense</t>
  </si>
  <si>
    <t>Equipment Rental</t>
  </si>
  <si>
    <t>Property Taxes</t>
  </si>
  <si>
    <t>Office Supplies</t>
  </si>
  <si>
    <t>Legal Fees</t>
  </si>
  <si>
    <t>Owner Consulting</t>
  </si>
  <si>
    <t>Transactional Costs</t>
  </si>
  <si>
    <t>Meals</t>
  </si>
  <si>
    <t>Gas and Electric</t>
  </si>
  <si>
    <t>Accounting</t>
  </si>
  <si>
    <t>TOTAL OPERATING EXPENSES</t>
  </si>
  <si>
    <t>NET INCOME</t>
  </si>
  <si>
    <t>WATCH</t>
  </si>
  <si>
    <t>Contract Labor</t>
  </si>
  <si>
    <t>Equipment Repairs</t>
  </si>
  <si>
    <t>Name</t>
  </si>
  <si>
    <t>2023</t>
  </si>
  <si>
    <t>2024</t>
  </si>
  <si>
    <t>Status</t>
  </si>
  <si>
    <t>Nothing More</t>
  </si>
  <si>
    <t>GREW</t>
  </si>
  <si>
    <t>Mercury Studios</t>
  </si>
  <si>
    <t>LOST</t>
  </si>
  <si>
    <t>Home Free</t>
  </si>
  <si>
    <t>SHRANK</t>
  </si>
  <si>
    <t>Bowling For Soup</t>
  </si>
  <si>
    <t>Amber Liu</t>
  </si>
  <si>
    <t>NEW</t>
  </si>
  <si>
    <t>Sammy Rae</t>
  </si>
  <si>
    <t>Dweezil Zappa MFG</t>
  </si>
  <si>
    <t>Shopify - Mon Rovia</t>
  </si>
  <si>
    <t>Jim Worthen</t>
  </si>
  <si>
    <t>They Might Be Giants</t>
  </si>
  <si>
    <t>Asleep At The Wheel</t>
  </si>
  <si>
    <t>Vertical Horizon</t>
  </si>
  <si>
    <t>Lucky Chops</t>
  </si>
  <si>
    <t>Yasiin Bey</t>
  </si>
  <si>
    <t>Yam Haus</t>
  </si>
  <si>
    <t>BCM Entertainment</t>
  </si>
  <si>
    <t>Dead Rabbit NYC</t>
  </si>
  <si>
    <t>Gunner Black Co.</t>
  </si>
  <si>
    <t>Martin Schneider</t>
  </si>
  <si>
    <t>Morgan James</t>
  </si>
  <si>
    <t>HK Hospitality</t>
  </si>
  <si>
    <t>Josh Johnson</t>
  </si>
  <si>
    <t>Ski With Wade</t>
  </si>
  <si>
    <t>Shopify - Heavy Metal Magazine</t>
  </si>
  <si>
    <t>Five Iron Frenzy</t>
  </si>
  <si>
    <t>Mixto Records</t>
  </si>
  <si>
    <t>Brass Against</t>
  </si>
  <si>
    <t>Jackopierce</t>
  </si>
  <si>
    <t>The Bygones</t>
  </si>
  <si>
    <t>Tone Shop Guitars</t>
  </si>
  <si>
    <t>Ok Go</t>
  </si>
  <si>
    <t>The Call</t>
  </si>
  <si>
    <t>One Opportunity Records</t>
  </si>
  <si>
    <t>Up/Down Records</t>
  </si>
  <si>
    <t>Glass Bead Music Inc (Josh Radin)</t>
  </si>
  <si>
    <t>Nikki Stringfield &amp; Patrick Kennison</t>
  </si>
  <si>
    <t>Warrant</t>
  </si>
  <si>
    <t>Shopify - Kevin Healy</t>
  </si>
  <si>
    <t>Abandoned Pools</t>
  </si>
  <si>
    <t>River House Artists</t>
  </si>
  <si>
    <t>Michelle Wolf</t>
  </si>
  <si>
    <t>Pike and Sutton</t>
  </si>
  <si>
    <t>Bandcamp - Heavy Metal Store</t>
  </si>
  <si>
    <t>Tim Foust</t>
  </si>
  <si>
    <t>Cary Morin</t>
  </si>
  <si>
    <t>LOCASH</t>
  </si>
  <si>
    <t>Scoop Merchandise</t>
  </si>
  <si>
    <t>Vanessa Andrews</t>
  </si>
  <si>
    <t>Huddy</t>
  </si>
  <si>
    <t>URComped</t>
  </si>
  <si>
    <t>Miss Nellie's</t>
  </si>
  <si>
    <t>Alex Sampson</t>
  </si>
  <si>
    <t>Shopify - Gentle Giant</t>
  </si>
  <si>
    <t>Among You</t>
  </si>
  <si>
    <t>Straight No Chaser</t>
  </si>
  <si>
    <t>Hand Drawn Pressing</t>
  </si>
  <si>
    <t>Freedom Keepers United</t>
  </si>
  <si>
    <t>Tauk</t>
  </si>
  <si>
    <t>Shopify - 800 Pound Gorilla</t>
  </si>
  <si>
    <t>Steve Gadd</t>
  </si>
  <si>
    <t>Paul Gilbert (Review)</t>
  </si>
  <si>
    <t>Shopify - Tower Records</t>
  </si>
  <si>
    <t>The Cold Stares</t>
  </si>
  <si>
    <t>The Speaker Wars</t>
  </si>
  <si>
    <t>Longwave</t>
  </si>
  <si>
    <t>Willi Carlisle</t>
  </si>
  <si>
    <t>Vida Verde</t>
  </si>
  <si>
    <t>Johnny Stimson</t>
  </si>
  <si>
    <t>Tyrone Wells</t>
  </si>
  <si>
    <t>Gideon King</t>
  </si>
  <si>
    <t>Flickerstick</t>
  </si>
  <si>
    <t>Modern English</t>
  </si>
  <si>
    <t>Fastball (Review)</t>
  </si>
  <si>
    <t>Texas Music Office</t>
  </si>
  <si>
    <t>Shopify - Clown Jewels</t>
  </si>
  <si>
    <t>Parry Gripp</t>
  </si>
  <si>
    <t>Jamie Mclean Band</t>
  </si>
  <si>
    <t>Decibel Works</t>
  </si>
  <si>
    <t>Kait Dunton</t>
  </si>
  <si>
    <t>Eliane Elias</t>
  </si>
  <si>
    <t>Hydra Melody</t>
  </si>
  <si>
    <t>Marc Broussard</t>
  </si>
  <si>
    <t>Lions At The Gate</t>
  </si>
  <si>
    <t>Better Noise Music</t>
  </si>
  <si>
    <t>The Orion Experience</t>
  </si>
  <si>
    <t>Prove Them Wrong-Hope Story</t>
  </si>
  <si>
    <t>Low Roar</t>
  </si>
  <si>
    <t>Zounds Sounds</t>
  </si>
  <si>
    <t>RIVVRS</t>
  </si>
  <si>
    <t>Rainmaker Entertainment Group Inc.</t>
  </si>
  <si>
    <t>Larry Goldings</t>
  </si>
  <si>
    <t>Bartley Dunnes</t>
  </si>
  <si>
    <t>BIS Consultants</t>
  </si>
  <si>
    <t>Tufstrings</t>
  </si>
  <si>
    <t>Derek (Ricki) Welch</t>
  </si>
  <si>
    <t>Shopify - TNT Recordings</t>
  </si>
  <si>
    <t>What School Could Be?</t>
  </si>
  <si>
    <t>Too Slim</t>
  </si>
  <si>
    <t>Neil Minet</t>
  </si>
  <si>
    <t>Joshua Radin</t>
  </si>
  <si>
    <t>Wallace Elementary</t>
  </si>
  <si>
    <t>Chris Bullinger</t>
  </si>
  <si>
    <t>The Icarus Plan</t>
  </si>
  <si>
    <t>Andy Timmons</t>
  </si>
  <si>
    <t>Alexandra Elliott</t>
  </si>
  <si>
    <t>Tone Shop Guitars - Southlake</t>
  </si>
  <si>
    <t>SkyeChristy</t>
  </si>
  <si>
    <t>Nep</t>
  </si>
  <si>
    <t>Bandcamp - Chrystabell</t>
  </si>
  <si>
    <t>Trashcan Sinatras</t>
  </si>
  <si>
    <t>Bandcamp - Riley Burke</t>
  </si>
  <si>
    <t>Driftwood</t>
  </si>
  <si>
    <t>The Bluegrass Situation</t>
  </si>
  <si>
    <t>Hobo Audio Company</t>
  </si>
  <si>
    <t>Welshly Arms</t>
  </si>
  <si>
    <t>Shayna Steele</t>
  </si>
  <si>
    <t>Trip The Witch - One More Satellite</t>
  </si>
  <si>
    <t>Brent Erschen</t>
  </si>
  <si>
    <t>Cinestate Fangoria</t>
  </si>
  <si>
    <t>Fate Entertainment</t>
  </si>
  <si>
    <t>Shopify - Pinpoint Dealer Services</t>
  </si>
  <si>
    <t>Matthew Kurzman</t>
  </si>
  <si>
    <t>Jon McLaughlin</t>
  </si>
  <si>
    <t>Ben Barnes - Balanced Management, Inc.</t>
  </si>
  <si>
    <t>PAB</t>
  </si>
  <si>
    <t>Dead Poet Society</t>
  </si>
  <si>
    <t>NTX Vinyl</t>
  </si>
  <si>
    <t>MOLOCAR, INC/TrueSpot</t>
  </si>
  <si>
    <t>Shopify - Vaultboy</t>
  </si>
  <si>
    <t>Magnolia Boulevard</t>
  </si>
  <si>
    <t>Fine Line Music Service</t>
  </si>
  <si>
    <t>Bandcamp - 800 Pound Gorilla Records</t>
  </si>
  <si>
    <t>Swin Swinford</t>
  </si>
  <si>
    <t>Jay Tynes</t>
  </si>
  <si>
    <t>Israel Nash</t>
  </si>
  <si>
    <t>Jaret Reddick</t>
  </si>
  <si>
    <t>The Lickerish Quartet</t>
  </si>
  <si>
    <t>Ear Food</t>
  </si>
  <si>
    <t>Fast Friends</t>
  </si>
  <si>
    <t>Ava Della Pietra</t>
  </si>
  <si>
    <t>Texas Dance Hall Preservation</t>
  </si>
  <si>
    <t>Dimitri Farougias</t>
  </si>
  <si>
    <t>The Dickens</t>
  </si>
  <si>
    <t>Melissa Carper</t>
  </si>
  <si>
    <t>John McLean</t>
  </si>
  <si>
    <t>Susan Davidson</t>
  </si>
  <si>
    <t>Bluegrass Heritage Foundation</t>
  </si>
  <si>
    <t>Steve Stevens</t>
  </si>
  <si>
    <t>Shopify - LC Records</t>
  </si>
  <si>
    <t>Stanley's Famous Pit BBQ</t>
  </si>
  <si>
    <t>Course Of Empire</t>
  </si>
  <si>
    <t>The Garcia Project</t>
  </si>
  <si>
    <t>Ryan McGarvey</t>
  </si>
  <si>
    <t>Thomas McKean High School</t>
  </si>
  <si>
    <t>Pickett Family Dental</t>
  </si>
  <si>
    <t>Shopify - Lethal Amounts</t>
  </si>
  <si>
    <t>Icarus Bell</t>
  </si>
  <si>
    <t>Michael Lington</t>
  </si>
  <si>
    <t>Sea Ray</t>
  </si>
  <si>
    <t>Dani Hagan</t>
  </si>
  <si>
    <t>North Highlands Bible Church</t>
  </si>
  <si>
    <t>Kill Devil Hill</t>
  </si>
  <si>
    <t>Holy Trinity Academy</t>
  </si>
  <si>
    <t>Bruce Molsky</t>
  </si>
  <si>
    <t>Pete Damore</t>
  </si>
  <si>
    <t>Unveil The Strength</t>
  </si>
  <si>
    <t>Sloppy Seconds</t>
  </si>
  <si>
    <t>Papa Muse</t>
  </si>
  <si>
    <t>Shopify - Monique Billings</t>
  </si>
  <si>
    <t>Kyle Jackson</t>
  </si>
  <si>
    <t>Kamran and Hooman</t>
  </si>
  <si>
    <t>Paytech-Earth Angel</t>
  </si>
  <si>
    <t>Hideaway Vacation Rentals</t>
  </si>
  <si>
    <t>Dog Savvy</t>
  </si>
  <si>
    <t>Walter Lee</t>
  </si>
  <si>
    <t>Camp Bluegrass</t>
  </si>
  <si>
    <t>WORKS Entertainment</t>
  </si>
  <si>
    <t>Cal Stamp</t>
  </si>
  <si>
    <t>T.3</t>
  </si>
  <si>
    <t>Bandcamp - Sorry Mom</t>
  </si>
  <si>
    <t>The Sound Club</t>
  </si>
  <si>
    <t>Stephen Inglis</t>
  </si>
  <si>
    <t>Shopify - Violetta Zironi</t>
  </si>
  <si>
    <t>Roger Joseph Manning Jr.</t>
  </si>
  <si>
    <t>TAG Restaurant Group</t>
  </si>
  <si>
    <t>Shopify - Engelbert Humperdinck</t>
  </si>
  <si>
    <t>The Luka State</t>
  </si>
  <si>
    <t>Shopify - Spottie WiFi</t>
  </si>
  <si>
    <t>525 Entertainment</t>
  </si>
  <si>
    <t>The Joyce Theater</t>
  </si>
  <si>
    <t>Shopify - Kazimi</t>
  </si>
  <si>
    <t>Emily Blocker</t>
  </si>
  <si>
    <t>Laurel Lewis</t>
  </si>
  <si>
    <t>Slaid Cleaves</t>
  </si>
  <si>
    <t>Doosu</t>
  </si>
  <si>
    <t>Mark Kafel</t>
  </si>
  <si>
    <t>Graham Wilkinson</t>
  </si>
  <si>
    <t>Peter Black</t>
  </si>
  <si>
    <t>DeadSara</t>
  </si>
  <si>
    <t>Shopify - Semisonic</t>
  </si>
  <si>
    <t>JJ Lester</t>
  </si>
  <si>
    <t>Jett Jenkins</t>
  </si>
  <si>
    <t>Lucille Estrada</t>
  </si>
  <si>
    <t>Earth Angel</t>
  </si>
  <si>
    <t>Rich OToole</t>
  </si>
  <si>
    <t>Jim Cocke</t>
  </si>
  <si>
    <t>Randonautica</t>
  </si>
  <si>
    <t>Shopify - Ink + Snow</t>
  </si>
  <si>
    <t>Billy Gilman</t>
  </si>
  <si>
    <t>HIGHR Staffing Group</t>
  </si>
  <si>
    <t>Naturally 7</t>
  </si>
  <si>
    <t>Paula Boggs Band</t>
  </si>
  <si>
    <t>Ghost Hounds</t>
  </si>
  <si>
    <t>Crawford Byers</t>
  </si>
  <si>
    <t>Jared Thompson</t>
  </si>
  <si>
    <t>Lake Travis High School Theatre Arts</t>
  </si>
  <si>
    <t>Beekeeper Spaceman</t>
  </si>
  <si>
    <t>Duncan Fellows</t>
  </si>
  <si>
    <t>My Bubba</t>
  </si>
  <si>
    <t>Cristian Machado</t>
  </si>
  <si>
    <t>Jackie Bristow</t>
  </si>
  <si>
    <t>Goldstar Recordings</t>
  </si>
  <si>
    <t>August Truly</t>
  </si>
  <si>
    <t>Reina del Cid</t>
  </si>
  <si>
    <t>Crystal Clear (Customer)</t>
  </si>
  <si>
    <t>z_Archivum</t>
  </si>
  <si>
    <t>Longear</t>
  </si>
  <si>
    <t>AntiFragile Music (Review)</t>
  </si>
  <si>
    <t>Shopify - PRN Alumni Foundation</t>
  </si>
  <si>
    <t>Aubrey Logan</t>
  </si>
  <si>
    <t>Dirty Snowman Society</t>
  </si>
  <si>
    <t>MACKandgold</t>
  </si>
  <si>
    <t>Black Satellite</t>
  </si>
  <si>
    <t>Humbucker Soup</t>
  </si>
  <si>
    <t>Armenian Space Station</t>
  </si>
  <si>
    <t>Turner And Kirwan Of Wexford</t>
  </si>
  <si>
    <t>NiceLife</t>
  </si>
  <si>
    <t>Charles Peters</t>
  </si>
  <si>
    <t>Holly Lowman</t>
  </si>
  <si>
    <t>Cavo</t>
  </si>
  <si>
    <t>Shopify - Changeland</t>
  </si>
  <si>
    <t>Buttercup</t>
  </si>
  <si>
    <t>Laura Ainsworth</t>
  </si>
  <si>
    <t>Elizabeth Wills</t>
  </si>
  <si>
    <t>The Morris Brothers</t>
  </si>
  <si>
    <t>Shopify - RockBox</t>
  </si>
  <si>
    <t>Bill Cantos</t>
  </si>
  <si>
    <t>Shopify - Mela Lee</t>
  </si>
  <si>
    <t>Halls of the Machine</t>
  </si>
  <si>
    <t>Dylan Brunson</t>
  </si>
  <si>
    <t>Matt Hughes</t>
  </si>
  <si>
    <t>Gordon Goodwin</t>
  </si>
  <si>
    <t>Ignescent</t>
  </si>
  <si>
    <t>The Meeting Place</t>
  </si>
  <si>
    <t>Graham Reynolds</t>
  </si>
  <si>
    <t>David Houston</t>
  </si>
  <si>
    <t>Bandcamp - Laura Ainsworth</t>
  </si>
  <si>
    <t>Leslie Stevens</t>
  </si>
  <si>
    <t>Eleri Ward</t>
  </si>
  <si>
    <t>Robert De Leo</t>
  </si>
  <si>
    <t>Shopify - Zyg Zyg Publishing</t>
  </si>
  <si>
    <t>Gary Patrick</t>
  </si>
  <si>
    <t>Jomo and The Possum Posse</t>
  </si>
  <si>
    <t>STABLE</t>
  </si>
  <si>
    <t>Bandwear Special Products</t>
  </si>
  <si>
    <t>2025</t>
  </si>
  <si>
    <t>7 Pepper Gunns LLC</t>
  </si>
  <si>
    <t>Big Bad Voodoo Daddy</t>
  </si>
  <si>
    <t>Blue October (Scoop)</t>
  </si>
  <si>
    <t>A24 Films</t>
  </si>
  <si>
    <t>BALTHVS</t>
  </si>
  <si>
    <t>Special Projects - OK Go - PGO</t>
  </si>
  <si>
    <t>Jade Cicada</t>
  </si>
  <si>
    <t>Fish in a Birdcage</t>
  </si>
  <si>
    <t>Beauty School Dropout</t>
  </si>
  <si>
    <t>Materia Music</t>
  </si>
  <si>
    <t>Sparkbird</t>
  </si>
  <si>
    <t>Warren DeMartini</t>
  </si>
  <si>
    <t>Enter The Haggis</t>
  </si>
  <si>
    <t>Daisy The Great</t>
  </si>
  <si>
    <t>Will Hoge</t>
  </si>
  <si>
    <t>Shopify - OK Go</t>
  </si>
  <si>
    <t>Oglio Records</t>
  </si>
  <si>
    <t>Bandcamp - Flying Mojito Bros</t>
  </si>
  <si>
    <t>Special Projects - Brian Culbertson IGG</t>
  </si>
  <si>
    <t>Feels Right Creative</t>
  </si>
  <si>
    <t>Grizzly Eyes</t>
  </si>
  <si>
    <t>Bandcamp - Pete Droge</t>
  </si>
  <si>
    <t>People R Ugly</t>
  </si>
  <si>
    <t>Special Projects - FANDIEM Nothing More Posters</t>
  </si>
  <si>
    <t>The Local Barber</t>
  </si>
  <si>
    <t>Paul Thorn</t>
  </si>
  <si>
    <t>Strange Boutique</t>
  </si>
  <si>
    <t>Kyle Dion</t>
  </si>
  <si>
    <t>Joya Frangie</t>
  </si>
  <si>
    <t>Will Carter Band</t>
  </si>
  <si>
    <t>City of Farmers Branch</t>
  </si>
  <si>
    <t>Prophets and Outlaws</t>
  </si>
  <si>
    <t>Shopify - Mixtape Meditation</t>
  </si>
  <si>
    <t>John Robert</t>
  </si>
  <si>
    <t>Better Noise Music (Review)</t>
  </si>
  <si>
    <t>Jake Mai</t>
  </si>
  <si>
    <t>Beyond The Pale NYC</t>
  </si>
  <si>
    <t>Haswell Greens</t>
  </si>
  <si>
    <t>Kelli Fannon</t>
  </si>
  <si>
    <t>Denver Evans</t>
  </si>
  <si>
    <t>DethFX</t>
  </si>
  <si>
    <t>Kings Of Thrash</t>
  </si>
  <si>
    <t>Deeptrees</t>
  </si>
  <si>
    <t>Damien Escobar</t>
  </si>
  <si>
    <t>Shopify - The Luka State</t>
  </si>
  <si>
    <t>Way Into Music</t>
  </si>
  <si>
    <t>Kountry Mike</t>
  </si>
  <si>
    <t>Greg Howe</t>
  </si>
  <si>
    <t>Dave Rude</t>
  </si>
  <si>
    <t>Justin Alan Payne</t>
  </si>
  <si>
    <t>Ben Barnes</t>
  </si>
  <si>
    <t>Jade Cicada LLC</t>
  </si>
  <si>
    <t>Sur</t>
  </si>
  <si>
    <t>Furstenfeld LLC</t>
  </si>
  <si>
    <t>Talia Hoit</t>
  </si>
  <si>
    <t>Armada</t>
  </si>
  <si>
    <t>7 Pepper Gunns</t>
  </si>
  <si>
    <t>Howling Nights</t>
  </si>
  <si>
    <t>Delta Charlie</t>
  </si>
  <si>
    <t>Chulo Records</t>
  </si>
  <si>
    <t>Jeff Talmadge</t>
  </si>
  <si>
    <t>Dolly's</t>
  </si>
  <si>
    <t>Meiko</t>
  </si>
  <si>
    <t>Angaleena Presley</t>
  </si>
  <si>
    <t>I Am Dynamite</t>
  </si>
  <si>
    <t>Kevin McGehee</t>
  </si>
  <si>
    <t>The Winery Dogs</t>
  </si>
  <si>
    <t>One More Satellite</t>
  </si>
  <si>
    <t>Havas PR NA dba Art of Sound</t>
  </si>
  <si>
    <t>Jane Coil</t>
  </si>
  <si>
    <t>Annie Benjamin</t>
  </si>
  <si>
    <t>Culture Collective Records</t>
  </si>
  <si>
    <t>Austin Brown</t>
  </si>
  <si>
    <t>Sid &amp; Marty Krofft</t>
  </si>
  <si>
    <t>Alien Fashion Show</t>
  </si>
  <si>
    <t>Remy Reilly</t>
  </si>
  <si>
    <t>Madeleine Peyroux</t>
  </si>
  <si>
    <t>Bre Kennedy</t>
  </si>
  <si>
    <t>Golden Hornet</t>
  </si>
  <si>
    <t>Bandcamp - Mixtape Meditation</t>
  </si>
  <si>
    <t>The Third Mind</t>
  </si>
  <si>
    <t>Jamie Lidell</t>
  </si>
  <si>
    <t>Moon Zappa</t>
  </si>
  <si>
    <t>Emerson Hart</t>
  </si>
  <si>
    <t>The Youngers</t>
  </si>
  <si>
    <t>Ray Bonneville</t>
  </si>
  <si>
    <t>Ghost-Note</t>
  </si>
  <si>
    <t>OkCello</t>
  </si>
  <si>
    <t>Doyle Bramhall II</t>
  </si>
  <si>
    <t>Flickerstick - 2021</t>
  </si>
  <si>
    <t>Mark Daly &amp; The Ravens</t>
  </si>
  <si>
    <t>Garden State Outlaws</t>
  </si>
  <si>
    <t>Shopify - Mynd Reader</t>
  </si>
  <si>
    <t>HAWK</t>
  </si>
  <si>
    <t>Harvard of The South</t>
  </si>
  <si>
    <t>Lyle Mays</t>
  </si>
  <si>
    <t>Gorgeous Dykes</t>
  </si>
  <si>
    <t>The Great Divide</t>
  </si>
  <si>
    <t>The Full Moon Band</t>
  </si>
  <si>
    <t>Renee Christine</t>
  </si>
  <si>
    <t>Sara Niemietz</t>
  </si>
  <si>
    <t>Returns Shipment Customer</t>
  </si>
  <si>
    <t>Vendor Name</t>
  </si>
  <si>
    <t>2023 Spend</t>
  </si>
  <si>
    <t>2024 Spend</t>
  </si>
  <si>
    <t>Flag</t>
  </si>
  <si>
    <t>Blue October Fangrab Ticketing-V</t>
  </si>
  <si>
    <t>Blue October - Box Sets (updown)-V</t>
  </si>
  <si>
    <t>DHL eCommerce</t>
  </si>
  <si>
    <t>Bowling For Soup Fangrab Ticketing-V</t>
  </si>
  <si>
    <t>Shopify - Furstenfeld-V</t>
  </si>
  <si>
    <t>Probity Europe Ltd</t>
  </si>
  <si>
    <t>Sammy Rae - pre 0623-V</t>
  </si>
  <si>
    <t>Erykah Badu-V</t>
  </si>
  <si>
    <t>Shopify - Home Free-V</t>
  </si>
  <si>
    <t>Alpha Shirt Company</t>
  </si>
  <si>
    <t>Image Imprinting</t>
  </si>
  <si>
    <t>Blue October - STTAP2 (Scoop)-V</t>
  </si>
  <si>
    <t>Blue October - STTAP1 (Scoop)-V</t>
  </si>
  <si>
    <t>Low Roar-V</t>
  </si>
  <si>
    <t>S&amp;S Activewear</t>
  </si>
  <si>
    <t>United Healthcare</t>
  </si>
  <si>
    <t>Blue Cross Blue Shield</t>
  </si>
  <si>
    <t>Wellsucceed Embroidery Limited</t>
  </si>
  <si>
    <t>Bluestar Textiles</t>
  </si>
  <si>
    <t>Shopify - Badu Apothecary-V</t>
  </si>
  <si>
    <t>Norway Consultants Inc</t>
  </si>
  <si>
    <t>Cobb Midway LLC</t>
  </si>
  <si>
    <t>CAMP Collection</t>
  </si>
  <si>
    <t>Dio-V</t>
  </si>
  <si>
    <t>Sammy Rae-V</t>
  </si>
  <si>
    <t>NTX Media Services</t>
  </si>
  <si>
    <t>Blue October (Scoop)-V</t>
  </si>
  <si>
    <t>Impericon</t>
  </si>
  <si>
    <t>Home Free-V</t>
  </si>
  <si>
    <t>AS Colour Inc</t>
  </si>
  <si>
    <t>Flickerstick - 2021-V</t>
  </si>
  <si>
    <t>Los Angeles Apparel</t>
  </si>
  <si>
    <t>Better Noise Music (Review)-V</t>
  </si>
  <si>
    <t>BookMasters</t>
  </si>
  <si>
    <t>Valiant Financial</t>
  </si>
  <si>
    <t>United Printables</t>
  </si>
  <si>
    <t>IRS</t>
  </si>
  <si>
    <t>Snugz USA</t>
  </si>
  <si>
    <t>Luck Star Merch Limited</t>
  </si>
  <si>
    <t>Brando Records-V</t>
  </si>
  <si>
    <t>USPS</t>
  </si>
  <si>
    <t>Sheridan CJK Group</t>
  </si>
  <si>
    <t>Vertical Horizon-V</t>
  </si>
  <si>
    <t>Paul Gilbert (Review)-V</t>
  </si>
  <si>
    <t>Acadian Candle Company</t>
  </si>
  <si>
    <t>Lions At The Gate-V</t>
  </si>
  <si>
    <t>Terry Town</t>
  </si>
  <si>
    <t>Underground Threads</t>
  </si>
  <si>
    <t>MarcCo Jewelers</t>
  </si>
  <si>
    <t>Trip The Witch-V</t>
  </si>
  <si>
    <t>Ok Go-V</t>
  </si>
  <si>
    <t>Amber Liu-V</t>
  </si>
  <si>
    <t>JAS Forwarding (USA) Inc.</t>
  </si>
  <si>
    <t>Morris Magnets</t>
  </si>
  <si>
    <t>BMS Sales, INC</t>
  </si>
  <si>
    <t>Probity Europe Limited</t>
  </si>
  <si>
    <t>RCHB Printing</t>
  </si>
  <si>
    <t>Small Business Administration</t>
  </si>
  <si>
    <t>Uline</t>
  </si>
  <si>
    <t>Marc Broussard-V</t>
  </si>
  <si>
    <t>Bowling For Soup-V</t>
  </si>
  <si>
    <t>Dallas County Tax Office</t>
  </si>
  <si>
    <t>Tim Foust-V</t>
  </si>
  <si>
    <t>Hit Promotional Products, INC</t>
  </si>
  <si>
    <t>Apple</t>
  </si>
  <si>
    <t>Johnny Stimson-V</t>
  </si>
  <si>
    <t>Tal Wilkenfeld-V</t>
  </si>
  <si>
    <t>NTX Supply LLC</t>
  </si>
  <si>
    <t>FedEx</t>
  </si>
  <si>
    <t>Consolidated Ink</t>
  </si>
  <si>
    <t>Joshua Radin - Experience Items-V</t>
  </si>
  <si>
    <t>Modern English-V</t>
  </si>
  <si>
    <t>TJC Consulting</t>
  </si>
  <si>
    <t>UPS</t>
  </si>
  <si>
    <t>WENZHOU OUFEICHI IMPORT&amp; EXPORT CO.,LTD</t>
  </si>
  <si>
    <t>Earth Angel-V</t>
  </si>
  <si>
    <t>Justin Furstenfeld Book (Gunner)-V</t>
  </si>
  <si>
    <t>Robert De Leo-V</t>
  </si>
  <si>
    <t>Upwork</t>
  </si>
  <si>
    <t>Ben Barnes-V</t>
  </si>
  <si>
    <t>PMGOA</t>
  </si>
  <si>
    <t>PCNA</t>
  </si>
  <si>
    <t>STOPNGO Line</t>
  </si>
  <si>
    <t>Nep-V</t>
  </si>
  <si>
    <t>Sinotec</t>
  </si>
  <si>
    <t>Belpromo</t>
  </si>
  <si>
    <t>The Lickerish Quartet-V</t>
  </si>
  <si>
    <t>Goldstar Recordings-V</t>
  </si>
  <si>
    <t>Longwave-V</t>
  </si>
  <si>
    <t>Cori Jade</t>
  </si>
  <si>
    <t>The Winery Dogs-V</t>
  </si>
  <si>
    <t>Steve Stevens-V</t>
  </si>
  <si>
    <t>Stouse, LLC</t>
  </si>
  <si>
    <t>Liberty Mutual</t>
  </si>
  <si>
    <t>Direct Cap USA</t>
  </si>
  <si>
    <t>Coyote T-Shirts</t>
  </si>
  <si>
    <t>Blue October - TIWILF (Scoop)-V</t>
  </si>
  <si>
    <t>DJ Slipmats</t>
  </si>
  <si>
    <t>1st Place Screen Printing</t>
  </si>
  <si>
    <t>Leed's</t>
  </si>
  <si>
    <t>Pitney Bowes Postage</t>
  </si>
  <si>
    <t>7 Pepper Gunns-V</t>
  </si>
  <si>
    <t>Taylor</t>
  </si>
  <si>
    <t>Ascend Staffing</t>
  </si>
  <si>
    <t>Beauty School Dropout-V</t>
  </si>
  <si>
    <t>Blue October - Sway (updown)-V</t>
  </si>
  <si>
    <t>Fish in a Birdcage-V</t>
  </si>
  <si>
    <t>EMT, INC</t>
  </si>
  <si>
    <t>SanMar</t>
  </si>
  <si>
    <t>Trademarks Promotional Products, LP</t>
  </si>
  <si>
    <t>Amazon.com</t>
  </si>
  <si>
    <t>Custom Sock Club</t>
  </si>
  <si>
    <t>Shenzhen Jinhao Color  Printing Co., Ltd</t>
  </si>
  <si>
    <t>Reitler Kailas &amp; Rosenblatt LLP</t>
  </si>
  <si>
    <t>Staton Wholesale, LLC</t>
  </si>
  <si>
    <t>Kaki King-V</t>
  </si>
  <si>
    <t>Gunner Black Co-V</t>
  </si>
  <si>
    <t>Oglio Records-V</t>
  </si>
  <si>
    <t>UPrinting.com</t>
  </si>
  <si>
    <t>The Cold Stares-V</t>
  </si>
  <si>
    <t>One More Satellite-V</t>
  </si>
  <si>
    <t>BWC Supplies</t>
  </si>
  <si>
    <t>Will Hoge-V</t>
  </si>
  <si>
    <t>Blue October - Argue Vinyl (updown)-V</t>
  </si>
  <si>
    <t>Shopify</t>
  </si>
  <si>
    <t>Aubrey Logan-V</t>
  </si>
  <si>
    <t>Blue October - Sway (Scoop)-V</t>
  </si>
  <si>
    <t>Hand Drawn Records</t>
  </si>
  <si>
    <t>Liberty Playing Cards</t>
  </si>
  <si>
    <t>Gemini Comic Supply</t>
  </si>
  <si>
    <t>Printful</t>
  </si>
  <si>
    <t>Blue October - History Vinyl (updown)-V</t>
  </si>
  <si>
    <t>DHL Express USA</t>
  </si>
  <si>
    <t>iClick</t>
  </si>
  <si>
    <t>Blue October - Consent Vinyl (updown)-V</t>
  </si>
  <si>
    <t>Micamp</t>
  </si>
  <si>
    <t>T-Shirt Time</t>
  </si>
  <si>
    <t>Sock Enterprises</t>
  </si>
  <si>
    <t>TForce Freight</t>
  </si>
  <si>
    <t>Alela Diane-V</t>
  </si>
  <si>
    <t>Tailor-Made Apparel</t>
  </si>
  <si>
    <t>Andrew Osenga-V</t>
  </si>
  <si>
    <t>MONTHLY REVENUE TRENDS</t>
  </si>
  <si>
    <t>Month</t>
  </si>
  <si>
    <t>2023 Revenue</t>
  </si>
  <si>
    <t>2024 Revenue</t>
  </si>
  <si>
    <t>2025 Revenue</t>
  </si>
  <si>
    <t>2024 vs 2023 $</t>
  </si>
  <si>
    <t>2024 vs 2023 %</t>
  </si>
  <si>
    <t>2025 vs 2024 $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</si>
  <si>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</si>
  <si>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</si>
  <si>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</si>
  <si>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</si>
  <si>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</si>
  <si>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</si>
  <si>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</si>
  <si>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</si>
  <si>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</si>
  <si>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</si>
  <si>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</si>
  <si>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</si>
  <si>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</si>
  <si>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MONTHLY NET INCOME TRENDS</t>
  </si>
  <si>
    <t>2023 Net Income</t>
  </si>
  <si>
    <t>2024 Net Income</t>
  </si>
  <si>
    <t>2025 Net Income</t>
  </si>
  <si>
    <t>MARGE'S TOP 10 ACTIONABLE RECOMMENDATIONS</t>
  </si>
  <si>
    <t>#</t>
  </si>
  <si>
    <t>Priority</t>
  </si>
  <si>
    <t>Action</t>
  </si>
  <si>
    <t>Detail</t>
  </si>
  <si>
    <t>Estimated Impact</t>
  </si>
  <si>
    <t>Owner</t>
  </si>
  <si>
    <t>IMMEDIATE</t>
  </si>
  <si>
    <t>Implement Aggressive Collections Program</t>
  </si>
  <si>
    <t>37 unpaid invoices totaling $60.6K outstanding. Return to Net 10 terms exclusively. Hire collections specialist or consolidate accounts. Current 2.6% delinquency rate is 37x worse than 2024.</t>
  </si>
  <si>
    <t>+$60K cash recovery</t>
  </si>
  <si>
    <t>Finance/Credit</t>
  </si>
  <si>
    <t>Reduce Fixed Costs by 10-15%</t>
  </si>
  <si>
    <t>Operating expenses at 51% of revenue vs 44% in 2023. Either reduce payroll, facility size, or both. Target: $200-250K in annual savings to hit breakeven at current revenue.</t>
  </si>
  <si>
    <t>+$200-250K annual NI</t>
  </si>
  <si>
    <t>Operations</t>
  </si>
  <si>
    <t>THIS MONTH</t>
  </si>
  <si>
    <t>Audit &amp; Restructure Payroll Model</t>
  </si>
  <si>
    <t>Wages grew 13.07% in 2024 at declining revenue, then only 7.27% growth in 2025. Need clarity on staffing levels. Is team right-sized? Are positions duplicated?</t>
  </si>
  <si>
    <t>-$100-150K potential savings</t>
  </si>
  <si>
    <t>HR/CFO</t>
  </si>
  <si>
    <t>Control Facility Costs</t>
  </si>
  <si>
    <t>Rent jumped 24.36% in 2024 and another 4.57% in 2025. Explore consolidation, subleasing, or smaller space. Current lease is unsustainable.</t>
  </si>
  <si>
    <t>-$30-50K annual savings</t>
  </si>
  <si>
    <t>Facilities</t>
  </si>
  <si>
    <t>THIS QUARTER</t>
  </si>
  <si>
    <t>Replicate Shopify HM Magazine Success</t>
  </si>
  <si>
    <t>One account grew from $46K (2024) to $473K (2025) = +$427K. What product mix? What pricing? What channels? Document success pattern and apply to other Shopify partners.</t>
  </si>
  <si>
    <t>+$200-400K potential upside</t>
  </si>
  <si>
    <t>Sales/Mkt</t>
  </si>
  <si>
    <t>Address Q1-Q3 Unprofitability</t>
  </si>
  <si>
    <t>Every year: Jan-Sept heavily negative, Oct-Dec profitable. Root cause analysis: Seasonality, product mix shift, customer mix? Fix the front 9 months.</t>
  </si>
  <si>
    <t>+$50-100K NI improvement</t>
  </si>
  <si>
    <t>Optimize Product Mix</t>
  </si>
  <si>
    <t>Tee orders declining (31% → 26% → 20% of invoices), REORDER declining (25% → 25% → 17%). Are higher-margin products being displaced?</t>
  </si>
  <si>
    <t>+$20-50K margin improvement</t>
  </si>
  <si>
    <t>Sales/Product</t>
  </si>
  <si>
    <t>Consolidate Low-Margin Accounts</t>
  </si>
  <si>
    <t>High-volume, low-margin customers (avg $37-$89/invoice). Consolidate, raise minimums, or discontinue. These accounts may be unprofitable.</t>
  </si>
  <si>
    <t>+$10-30K NI improvement</t>
  </si>
  <si>
    <t>Sales</t>
  </si>
  <si>
    <t>Hire Controls Around Contract Labor</t>
  </si>
  <si>
    <t>Contract labor introduced at $30.4K in 2025. What is ROI? Is this temporary or permanent? Structure: permanent payroll vs project-based?</t>
  </si>
  <si>
    <t>TBD - pending review</t>
  </si>
  <si>
    <t>CFO</t>
  </si>
  <si>
    <t>ONGOING</t>
  </si>
  <si>
    <t>ASSET PRICING INITIATIVE: Launch LSF (Low-Season Fee) Pricing Model</t>
  </si>
  <si>
    <t>Company is subsidizing own demise through flat pricing year-round. Q1-Q3 unprofitable. Implement dynamic pricing: higher rates Oct-Dec, volume discounts Apr-Sept. Revenue upside: 5-10% net margin improvement.</t>
  </si>
  <si>
    <t>+$200-400K annual NI</t>
  </si>
  <si>
    <t>████████ ASSET7 ████████</t>
  </si>
  <si>
    <t>"A business that doesn't charge what it's worth is subsidizing its own demise."</t>
  </si>
  <si>
    <t>— MARGE, Revenue Recovery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</si>
</sst>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"/>
    <numFmt numFmtId="165" formatCode="0.0%"/>
  </numFmts>
  <fonts count="22" x14ac:knownFonts="1">
    <font>
      <sz val="11"/>
      <color theme="1"/>
      <name val="Calibri"/>
      <family val="2"/>
      <charset val="1"/>
    </font>
    <font>
      <b/>
      <sz val="14"/>
      <color rgb="FFD4A017"/>
      <name val="Arial"/>
      <family val="2"/>
    </font>
    <font>
      <b/>
      <sz val="10"/>
      <color rgb="FF1A2332"/>
      <name val="Arial"/>
      <family val="2"/>
    </font>
    <font>
      <b/>
      <sz val="9"/>
      <color rgb="FFFFFFFF"/>
      <name val="Arial"/>
      <family val="2"/>
    </font>
    <font>
      <b/>
      <sz val="9"/>
      <color rgb="FFFF4444"/>
      <name val="Arial"/>
      <family val="2"/>
    </font>
    <font>
      <b/>
      <sz val="12"/>
      <color rgb="FF1A2332"/>
      <name val="Arial"/>
      <family val="2"/>
    </font>
    <font>
      <sz val="9"/>
      <color rgb="FF000000"/>
      <name val="Arial"/>
      <family val="2"/>
    </font>
    <font>
      <b/>
      <sz val="9"/>
      <color rgb="FF27AE6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rgb="FF27AE60"/>
      <name val="Cambria"/>
      <family val="1"/>
    </font>
    <font>
      <b/>
      <sz val="11"/>
      <color rgb="FFFF4444"/>
      <name val="Cambria"/>
      <family val="1"/>
    </font>
    <font>
      <b/>
      <sz val="12"/>
      <color rgb="FFFFFFFF"/>
      <name val="Arial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9"/>
      <name val="Cambria"/>
      <family val="1"/>
    </font>
    <font>
      <sz val="8"/>
      <name val="Cambria"/>
      <family val="1"/>
    </font>
    <font>
      <b/>
      <sz val="8"/>
      <color rgb="FF27AE60"/>
      <name val="Cambria"/>
      <family val="1"/>
    </font>
    <font>
      <sz val="9"/>
      <name val="Cambria"/>
      <family val="1"/>
    </font>
    <font>
      <b/>
      <sz val="9"/>
      <color rgb="FFFFFFFF"/>
      <name val="Cambria"/>
      <family val="1"/>
    </font>
    <font>
      <b/>
      <i/>
      <sz val="11"/>
      <color rgb="FFFF4444"/>
      <name val="Arial"/>
      <family val="2"/>
    </font>
    <font>
      <i/>
      <sz val="10"/>
      <color rgb="FF1A233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2332"/>
        <bgColor rgb="FF333300"/>
      </patternFill>
    </fill>
    <fill>
      <patternFill patternType="solid">
        <fgColor rgb="FFD4A017"/>
        <bgColor rgb="FFFFCC00"/>
      </patternFill>
    </fill>
    <fill>
      <patternFill patternType="solid">
        <fgColor rgb="FFFFE0E0"/>
        <bgColor rgb="FFFFF3CD"/>
      </patternFill>
    </fill>
    <fill>
      <patternFill patternType="solid">
        <fgColor rgb="FFFFF3CD"/>
        <bgColor rgb="FFFFE0E0"/>
      </patternFill>
    </fill>
    <fill>
      <patternFill patternType="solid">
        <fgColor rgb="FFD4EDDA"/>
        <bgColor rgb="FFCCFFFF"/>
      </patternFill>
    </fill>
    <fill>
      <patternFill patternType="solid">
        <fgColor rgb="FF000000"/>
        <bgColor rgb="FF1A23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1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2" fillId="2" borderId="0" xfId="0" applyFont="1" applyFill="1"/>
    <xf numFmtId="0" fontId="8" fillId="2" borderId="1" xfId="0" applyFont="1" applyFill="1" applyBorder="1"/>
    <xf numFmtId="0" fontId="6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3" fillId="2" borderId="0" xfId="0" applyFont="1" applyFill="1"/>
    <xf numFmtId="164" fontId="13" fillId="2" borderId="1" xfId="0" applyNumberFormat="1" applyFont="1" applyFill="1" applyBorder="1"/>
    <xf numFmtId="0" fontId="8" fillId="2" borderId="0" xfId="0" applyFont="1" applyFill="1"/>
    <xf numFmtId="0" fontId="1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19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D4A017"/>
      <rgbColor rgb="FFFF4444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A2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opLeftCell="A5" zoomScale="171" zoomScaleNormal="171" workbookViewId="0">
      <selection activeCell="C9" sqref="C9"/>
    </sheetView>
  </sheetViews>
  <sheetFormatPr baseColWidth="10" defaultColWidth="8.6640625" defaultRowHeight="15" customHeight="1" x14ac:dyDescent="0.2"/>
  <cols>
    <col min="1" max="1" width="12.83203125" bestFit="1" customWidth="1"/>
    <col min="2" max="2" width="19.83203125" bestFit="1" customWidth="1"/>
    <col min="3" max="3" width="15.6640625" bestFit="1" customWidth="1"/>
    <col min="4" max="4" width="30" customWidth="1"/>
    <col min="5" max="5" width="14" bestFit="1" customWidth="1"/>
    <col min="6" max="6" width="12" customWidth="1"/>
    <col min="7" max="7" width="13" bestFit="1" customWidth="1"/>
    <col min="8" max="8" width="12" customWidth="1"/>
  </cols>
  <sheetData>
    <row r="1" spans="1:8" ht="24.75" customHeight="1" x14ac:dyDescent="0.2">
      <c r="A1" s="8" t="s">
        <v>0</v>
      </c>
      <c r="B1" s="8"/>
      <c r="C1" s="8"/>
      <c r="D1" s="8"/>
      <c r="E1" s="8"/>
      <c r="F1" s="8"/>
      <c r="G1" s="8"/>
      <c r="H1" s="8"/>
    </row>
    <row r="2" spans="1:8" ht="19.5" customHeight="1" x14ac:dyDescent="0.2">
      <c r="A2" s="7" t="s">
        <v>1</v>
      </c>
      <c r="B2" s="7"/>
      <c r="C2" s="7"/>
      <c r="D2" s="7"/>
      <c r="E2" s="7"/>
      <c r="F2" s="7"/>
      <c r="G2" s="7"/>
      <c r="H2" s="7"/>
    </row>
    <row r="4" spans="1:8" ht="24.75" customHeight="1" x14ac:dyDescent="0.2">
      <c r="A4" s="9" t="s">
        <v>2</v>
      </c>
      <c r="C4" s="9" t="s">
        <v>3</v>
      </c>
      <c r="E4" s="9" t="s">
        <v>4</v>
      </c>
      <c r="G4" s="9" t="s">
        <v>5</v>
      </c>
    </row>
    <row r="5" spans="1:8" ht="208" x14ac:dyDescent="0.2">
      <c r="A5" s="10" t="s">
        <v>6</v>
      </c>
      <c r="C5" s="10" t="s">
        <v>7</v>
      </c>
      <c r="E5" s="10" t="s">
        <v>8</v>
      </c>
      <c r="G5" s="10" t="s">
        <v>9</v>
      </c>
    </row>
    <row r="7" spans="1:8" ht="19.5" customHeight="1" x14ac:dyDescent="0.2">
      <c r="A7" s="6" t="s">
        <v>10</v>
      </c>
      <c r="B7" s="6"/>
      <c r="C7" s="6"/>
      <c r="D7" s="6"/>
      <c r="E7" s="6"/>
      <c r="F7" s="6"/>
      <c r="G7" s="6"/>
      <c r="H7" s="6"/>
    </row>
    <row r="9" spans="1:8" ht="34.5" customHeight="1" x14ac:dyDescent="0.2">
      <c r="B9" s="11" t="s">
        <v>11</v>
      </c>
      <c r="D9" s="5" t="s">
        <v>12</v>
      </c>
      <c r="E9" s="5"/>
      <c r="F9" s="5"/>
      <c r="G9" s="5"/>
      <c r="H9" s="5"/>
    </row>
    <row r="10" spans="1:8" ht="34.5" customHeight="1" x14ac:dyDescent="0.2">
      <c r="B10" s="11" t="s">
        <v>13</v>
      </c>
      <c r="D10" s="5" t="s">
        <v>14</v>
      </c>
      <c r="E10" s="5"/>
      <c r="F10" s="5"/>
      <c r="G10" s="5"/>
      <c r="H10" s="5"/>
    </row>
    <row r="11" spans="1:8" ht="34.5" customHeight="1" x14ac:dyDescent="0.2">
      <c r="B11" s="12" t="s">
        <v>15</v>
      </c>
      <c r="D11" s="5" t="s">
        <v>16</v>
      </c>
      <c r="E11" s="5"/>
      <c r="F11" s="5"/>
      <c r="G11" s="5"/>
      <c r="H11" s="5"/>
    </row>
    <row r="12" spans="1:8" ht="34.5" customHeight="1" x14ac:dyDescent="0.2">
      <c r="B12" s="12" t="s">
        <v>17</v>
      </c>
      <c r="D12" s="5" t="s">
        <v>18</v>
      </c>
      <c r="E12" s="5"/>
      <c r="F12" s="5"/>
      <c r="G12" s="5"/>
      <c r="H12" s="5"/>
    </row>
    <row r="13" spans="1:8" ht="34.5" customHeight="1" x14ac:dyDescent="0.2">
      <c r="B13" s="12" t="s">
        <v>19</v>
      </c>
      <c r="D13" s="5" t="s">
        <v>20</v>
      </c>
      <c r="E13" s="5"/>
      <c r="F13" s="5"/>
      <c r="G13" s="5"/>
      <c r="H13" s="5"/>
    </row>
    <row r="14" spans="1:8" ht="34.5" customHeight="1" x14ac:dyDescent="0.2">
      <c r="B14" s="12" t="s">
        <v>21</v>
      </c>
      <c r="D14" s="5" t="s">
        <v>22</v>
      </c>
      <c r="E14" s="5"/>
      <c r="F14" s="5"/>
      <c r="G14" s="5"/>
      <c r="H14" s="5"/>
    </row>
    <row r="15" spans="1:8" ht="34.5" customHeight="1" x14ac:dyDescent="0.2">
      <c r="B15" s="13" t="s">
        <v>23</v>
      </c>
      <c r="D15" s="5" t="s">
        <v>24</v>
      </c>
      <c r="E15" s="5"/>
      <c r="F15" s="5"/>
      <c r="G15" s="5"/>
      <c r="H15" s="5"/>
    </row>
    <row r="16" spans="1:8" ht="34.5" customHeight="1" x14ac:dyDescent="0.2">
      <c r="B16" s="13" t="s">
        <v>25</v>
      </c>
      <c r="D16" s="5" t="s">
        <v>26</v>
      </c>
      <c r="E16" s="5"/>
      <c r="F16" s="5"/>
      <c r="G16" s="5"/>
      <c r="H16" s="5"/>
    </row>
  </sheetData>
  <mergeCells count="11">
    <mergeCell ref="D16:H16"/>
    <mergeCell ref="D11:H11"/>
    <mergeCell ref="D12:H12"/>
    <mergeCell ref="D13:H13"/>
    <mergeCell ref="D14:H14"/>
    <mergeCell ref="D15:H15"/>
    <mergeCell ref="A1:H1"/>
    <mergeCell ref="A2:H2"/>
    <mergeCell ref="A7:H7"/>
    <mergeCell ref="D9:H9"/>
    <mergeCell ref="D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164" zoomScaleNormal="164" workbookViewId="0">
      <selection activeCell="F5" sqref="F5"/>
    </sheetView>
  </sheetViews>
  <sheetFormatPr baseColWidth="10" defaultColWidth="19.83203125" defaultRowHeight="15" customHeight="1" x14ac:dyDescent="0.2"/>
  <sheetData>
    <row r="1" spans="1:8" ht="24.75" customHeight="1" x14ac:dyDescent="0.2">
      <c r="A1" s="8" t="s">
        <v>27</v>
      </c>
      <c r="B1" s="8"/>
      <c r="C1" s="8"/>
      <c r="D1" s="8"/>
      <c r="E1" s="8"/>
      <c r="F1" s="8"/>
      <c r="G1" s="8"/>
      <c r="H1" s="8"/>
    </row>
    <row r="2" spans="1:8" ht="19.5" customHeight="1" x14ac:dyDescent="0.2">
      <c r="A2" s="7" t="s">
        <v>1</v>
      </c>
      <c r="B2" s="7"/>
      <c r="C2" s="7"/>
      <c r="D2" s="7"/>
      <c r="E2" s="7"/>
      <c r="F2" s="7"/>
      <c r="G2" s="7"/>
      <c r="H2" s="7"/>
    </row>
    <row r="4" spans="1:8" ht="24.75" customHeight="1" x14ac:dyDescent="0.2">
      <c r="A4" s="9" t="s">
        <v>2</v>
      </c>
      <c r="C4" s="9" t="s">
        <v>3</v>
      </c>
      <c r="E4" s="9" t="s">
        <v>28</v>
      </c>
      <c r="G4" s="9" t="s">
        <v>29</v>
      </c>
    </row>
    <row r="5" spans="1:8" ht="221" x14ac:dyDescent="0.2">
      <c r="A5" s="14" t="s">
        <v>30</v>
      </c>
      <c r="C5" s="14" t="s">
        <v>31</v>
      </c>
      <c r="E5" s="14" t="s">
        <v>32</v>
      </c>
      <c r="G5" s="14" t="s">
        <v>33</v>
      </c>
    </row>
    <row r="7" spans="1:8" ht="19.5" customHeight="1" x14ac:dyDescent="0.2">
      <c r="A7" s="6" t="s">
        <v>34</v>
      </c>
      <c r="B7" s="6"/>
      <c r="C7" s="6"/>
      <c r="D7" s="6"/>
      <c r="E7" s="6"/>
      <c r="F7" s="6"/>
      <c r="G7" s="6"/>
      <c r="H7" s="6"/>
    </row>
    <row r="9" spans="1:8" ht="34.5" customHeight="1" x14ac:dyDescent="0.2">
      <c r="B9" s="13" t="s">
        <v>35</v>
      </c>
      <c r="D9" s="5" t="s">
        <v>36</v>
      </c>
      <c r="E9" s="5"/>
      <c r="F9" s="5"/>
      <c r="G9" s="5"/>
      <c r="H9" s="5"/>
    </row>
    <row r="10" spans="1:8" ht="34.5" customHeight="1" x14ac:dyDescent="0.2">
      <c r="B10" s="13" t="s">
        <v>37</v>
      </c>
      <c r="D10" s="5" t="s">
        <v>38</v>
      </c>
      <c r="E10" s="5"/>
      <c r="F10" s="5"/>
      <c r="G10" s="5"/>
      <c r="H10" s="5"/>
    </row>
    <row r="11" spans="1:8" ht="34.5" customHeight="1" x14ac:dyDescent="0.2">
      <c r="B11" s="13" t="s">
        <v>39</v>
      </c>
      <c r="D11" s="5" t="s">
        <v>40</v>
      </c>
      <c r="E11" s="5"/>
      <c r="F11" s="5"/>
      <c r="G11" s="5"/>
      <c r="H11" s="5"/>
    </row>
    <row r="12" spans="1:8" ht="34.5" customHeight="1" x14ac:dyDescent="0.2">
      <c r="B12" s="13" t="s">
        <v>41</v>
      </c>
      <c r="D12" s="5" t="s">
        <v>42</v>
      </c>
      <c r="E12" s="5"/>
      <c r="F12" s="5"/>
      <c r="G12" s="5"/>
      <c r="H12" s="5"/>
    </row>
    <row r="13" spans="1:8" ht="34.5" customHeight="1" x14ac:dyDescent="0.2">
      <c r="B13" s="12" t="s">
        <v>43</v>
      </c>
      <c r="D13" s="5" t="s">
        <v>44</v>
      </c>
      <c r="E13" s="5"/>
      <c r="F13" s="5"/>
      <c r="G13" s="5"/>
      <c r="H13" s="5"/>
    </row>
    <row r="14" spans="1:8" ht="34.5" customHeight="1" x14ac:dyDescent="0.2">
      <c r="B14" s="12" t="s">
        <v>45</v>
      </c>
      <c r="D14" s="5" t="s">
        <v>46</v>
      </c>
      <c r="E14" s="5"/>
      <c r="F14" s="5"/>
      <c r="G14" s="5"/>
      <c r="H14" s="5"/>
    </row>
    <row r="15" spans="1:8" ht="34.5" customHeight="1" x14ac:dyDescent="0.2">
      <c r="B15" s="11" t="s">
        <v>47</v>
      </c>
      <c r="D15" s="5" t="s">
        <v>48</v>
      </c>
      <c r="E15" s="5"/>
      <c r="F15" s="5"/>
      <c r="G15" s="5"/>
      <c r="H15" s="5"/>
    </row>
    <row r="16" spans="1:8" ht="34.5" customHeight="1" x14ac:dyDescent="0.2">
      <c r="B16" s="11" t="s">
        <v>49</v>
      </c>
      <c r="D16" s="5" t="s">
        <v>50</v>
      </c>
      <c r="E16" s="5"/>
      <c r="F16" s="5"/>
      <c r="G16" s="5"/>
      <c r="H16" s="5"/>
    </row>
  </sheetData>
  <mergeCells count="11">
    <mergeCell ref="D16:H16"/>
    <mergeCell ref="D11:H11"/>
    <mergeCell ref="D12:H12"/>
    <mergeCell ref="D13:H13"/>
    <mergeCell ref="D14:H14"/>
    <mergeCell ref="D15:H15"/>
    <mergeCell ref="A1:H1"/>
    <mergeCell ref="A2:H2"/>
    <mergeCell ref="A7:H7"/>
    <mergeCell ref="D9:H9"/>
    <mergeCell ref="D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Normal="100" workbookViewId="0"/>
  </sheetViews>
  <sheetFormatPr baseColWidth="10" defaultColWidth="8.6640625" defaultRowHeight="15" customHeight="1" x14ac:dyDescent="0.2"/>
  <cols>
    <col min="1" max="1" width="2" customWidth="1"/>
    <col min="2" max="2" width="30" customWidth="1"/>
    <col min="3" max="7" width="14" customWidth="1"/>
  </cols>
  <sheetData>
    <row r="1" spans="1:7" x14ac:dyDescent="0.2">
      <c r="A1" s="15"/>
      <c r="B1" s="15" t="s">
        <v>51</v>
      </c>
      <c r="C1" s="15" t="s">
        <v>52</v>
      </c>
      <c r="D1" s="15" t="s">
        <v>53</v>
      </c>
      <c r="E1" s="15" t="s">
        <v>54</v>
      </c>
      <c r="F1" s="15" t="s">
        <v>55</v>
      </c>
      <c r="G1" s="15" t="s">
        <v>56</v>
      </c>
    </row>
    <row r="2" spans="1:7" x14ac:dyDescent="0.2">
      <c r="B2" s="4" t="s">
        <v>57</v>
      </c>
      <c r="C2" s="4"/>
      <c r="D2" s="4"/>
      <c r="E2" s="4"/>
      <c r="F2" s="4"/>
      <c r="G2" s="4"/>
    </row>
    <row r="3" spans="1:7" x14ac:dyDescent="0.2">
      <c r="B3" s="16" t="s">
        <v>58</v>
      </c>
      <c r="C3" s="17">
        <v>1297672</v>
      </c>
      <c r="D3" s="17">
        <v>1241829</v>
      </c>
      <c r="E3" s="17">
        <f t="shared" ref="E3:E8" si="0">D3-C3</f>
        <v>-55843</v>
      </c>
      <c r="F3" s="18">
        <f t="shared" ref="F3:F8" si="1">IFERROR(E3/ABS(C3),0)</f>
        <v>-4.3033216405994737E-2</v>
      </c>
      <c r="G3" s="19" t="s">
        <v>59</v>
      </c>
    </row>
    <row r="4" spans="1:7" x14ac:dyDescent="0.2">
      <c r="B4" s="16" t="s">
        <v>60</v>
      </c>
      <c r="C4" s="17">
        <v>649607</v>
      </c>
      <c r="D4" s="17">
        <v>600592</v>
      </c>
      <c r="E4" s="17">
        <f t="shared" si="0"/>
        <v>-49015</v>
      </c>
      <c r="F4" s="18">
        <f t="shared" si="1"/>
        <v>-7.545331254127495E-2</v>
      </c>
      <c r="G4" s="19" t="s">
        <v>59</v>
      </c>
    </row>
    <row r="5" spans="1:7" x14ac:dyDescent="0.2">
      <c r="B5" s="16" t="s">
        <v>61</v>
      </c>
      <c r="C5" s="17">
        <v>4084380</v>
      </c>
      <c r="D5" s="17">
        <v>3806491</v>
      </c>
      <c r="E5" s="17">
        <f t="shared" si="0"/>
        <v>-277889</v>
      </c>
      <c r="F5" s="18">
        <f t="shared" si="1"/>
        <v>-6.8037009289047545E-2</v>
      </c>
      <c r="G5" s="19" t="s">
        <v>59</v>
      </c>
    </row>
    <row r="6" spans="1:7" x14ac:dyDescent="0.2">
      <c r="B6" s="16" t="s">
        <v>62</v>
      </c>
      <c r="C6" s="17">
        <v>1643740</v>
      </c>
      <c r="D6" s="17">
        <v>1404653</v>
      </c>
      <c r="E6" s="17">
        <f t="shared" si="0"/>
        <v>-239087</v>
      </c>
      <c r="F6" s="18">
        <f t="shared" si="1"/>
        <v>-0.14545305218586882</v>
      </c>
      <c r="G6" s="19" t="s">
        <v>59</v>
      </c>
    </row>
    <row r="7" spans="1:7" x14ac:dyDescent="0.2">
      <c r="B7" s="16" t="s">
        <v>63</v>
      </c>
      <c r="C7" s="17">
        <v>116631</v>
      </c>
      <c r="D7" s="17">
        <v>118824</v>
      </c>
      <c r="E7" s="17">
        <f t="shared" si="0"/>
        <v>2193</v>
      </c>
      <c r="F7" s="18">
        <f t="shared" si="1"/>
        <v>1.8802891169586132E-2</v>
      </c>
      <c r="G7" s="19" t="s">
        <v>59</v>
      </c>
    </row>
    <row r="8" spans="1:7" x14ac:dyDescent="0.2">
      <c r="B8" s="16" t="s">
        <v>64</v>
      </c>
      <c r="C8" s="17">
        <v>7792030</v>
      </c>
      <c r="D8" s="17">
        <v>7172559</v>
      </c>
      <c r="E8" s="17">
        <f t="shared" si="0"/>
        <v>-619471</v>
      </c>
      <c r="F8" s="18">
        <f t="shared" si="1"/>
        <v>-7.9500592271846998E-2</v>
      </c>
      <c r="G8" s="19" t="s">
        <v>59</v>
      </c>
    </row>
    <row r="9" spans="1:7" x14ac:dyDescent="0.2">
      <c r="B9" s="4" t="s">
        <v>65</v>
      </c>
      <c r="C9" s="4"/>
      <c r="D9" s="4"/>
      <c r="E9" s="4"/>
      <c r="F9" s="4"/>
      <c r="G9" s="4"/>
    </row>
    <row r="10" spans="1:7" x14ac:dyDescent="0.2">
      <c r="B10" s="16" t="s">
        <v>66</v>
      </c>
      <c r="C10" s="17">
        <v>134835</v>
      </c>
      <c r="D10" s="17">
        <v>116366</v>
      </c>
      <c r="E10" s="17">
        <f>D10-C10</f>
        <v>-18469</v>
      </c>
      <c r="F10" s="18">
        <f>IFERROR(E10/ABS(C10),0)</f>
        <v>-0.13697482107761338</v>
      </c>
      <c r="G10" s="19" t="s">
        <v>59</v>
      </c>
    </row>
    <row r="11" spans="1:7" x14ac:dyDescent="0.2">
      <c r="B11" s="16" t="s">
        <v>67</v>
      </c>
      <c r="C11" s="17">
        <v>2573502</v>
      </c>
      <c r="D11" s="17">
        <v>2308772</v>
      </c>
      <c r="E11" s="17">
        <f>D11-C11</f>
        <v>-264730</v>
      </c>
      <c r="F11" s="18">
        <f>IFERROR(E11/ABS(C11),0)</f>
        <v>-0.10286760997271423</v>
      </c>
      <c r="G11" s="19" t="s">
        <v>59</v>
      </c>
    </row>
    <row r="12" spans="1:7" x14ac:dyDescent="0.2">
      <c r="B12" s="16" t="s">
        <v>68</v>
      </c>
      <c r="C12" s="17">
        <v>1458387</v>
      </c>
      <c r="D12" s="17">
        <v>1174918</v>
      </c>
      <c r="E12" s="17">
        <f>D12-C12</f>
        <v>-283469</v>
      </c>
      <c r="F12" s="18">
        <f>IFERROR(E12/ABS(C12),0)</f>
        <v>-0.19437158998263149</v>
      </c>
      <c r="G12" s="19" t="s">
        <v>59</v>
      </c>
    </row>
    <row r="13" spans="1:7" x14ac:dyDescent="0.2">
      <c r="B13" s="16" t="s">
        <v>69</v>
      </c>
      <c r="C13" s="17">
        <v>4166724</v>
      </c>
      <c r="D13" s="17">
        <v>3600056</v>
      </c>
      <c r="E13" s="17">
        <f>D13-C13</f>
        <v>-566668</v>
      </c>
      <c r="F13" s="18">
        <f>IFERROR(E13/ABS(C13),0)</f>
        <v>-0.13599844866134642</v>
      </c>
      <c r="G13" s="19" t="s">
        <v>59</v>
      </c>
    </row>
    <row r="14" spans="1:7" x14ac:dyDescent="0.2">
      <c r="B14" s="16" t="s">
        <v>70</v>
      </c>
      <c r="C14" s="17">
        <v>3625306</v>
      </c>
      <c r="D14" s="17">
        <v>3572503</v>
      </c>
      <c r="E14" s="17">
        <f>D14-C14</f>
        <v>-52803</v>
      </c>
      <c r="F14" s="18">
        <f>IFERROR(E14/ABS(C14),0)</f>
        <v>-1.4565115330954132E-2</v>
      </c>
      <c r="G14" s="19" t="s">
        <v>59</v>
      </c>
    </row>
    <row r="15" spans="1:7" x14ac:dyDescent="0.2">
      <c r="B15" s="4" t="s">
        <v>71</v>
      </c>
      <c r="C15" s="4"/>
      <c r="D15" s="4"/>
      <c r="E15" s="4"/>
      <c r="F15" s="4"/>
      <c r="G15" s="4"/>
    </row>
    <row r="16" spans="1:7" x14ac:dyDescent="0.2">
      <c r="B16" s="16" t="s">
        <v>72</v>
      </c>
      <c r="C16" s="17">
        <v>909159</v>
      </c>
      <c r="D16" s="17">
        <v>1027985</v>
      </c>
      <c r="E16" s="17">
        <f t="shared" ref="E16:E38" si="2">D16-C16</f>
        <v>118826</v>
      </c>
      <c r="F16" s="18">
        <f t="shared" ref="F16:F38" si="3">IFERROR(E16/ABS(C16),0)</f>
        <v>0.13069881065908162</v>
      </c>
      <c r="G16" s="19" t="s">
        <v>59</v>
      </c>
    </row>
    <row r="17" spans="2:7" x14ac:dyDescent="0.2">
      <c r="B17" s="16" t="s">
        <v>73</v>
      </c>
      <c r="C17" s="17">
        <v>63231</v>
      </c>
      <c r="D17" s="17">
        <v>87424</v>
      </c>
      <c r="E17" s="17">
        <f t="shared" si="2"/>
        <v>24193</v>
      </c>
      <c r="F17" s="18">
        <f t="shared" si="3"/>
        <v>0.38261295883348356</v>
      </c>
      <c r="G17" s="20" t="s">
        <v>59</v>
      </c>
    </row>
    <row r="18" spans="2:7" x14ac:dyDescent="0.2">
      <c r="B18" s="16" t="s">
        <v>74</v>
      </c>
      <c r="C18" s="17">
        <v>34385</v>
      </c>
      <c r="D18" s="17">
        <v>55306</v>
      </c>
      <c r="E18" s="17">
        <f t="shared" si="2"/>
        <v>20921</v>
      </c>
      <c r="F18" s="18">
        <f t="shared" si="3"/>
        <v>0.6084339101352334</v>
      </c>
      <c r="G18" s="20" t="s">
        <v>59</v>
      </c>
    </row>
    <row r="19" spans="2:7" x14ac:dyDescent="0.2">
      <c r="B19" s="16" t="s">
        <v>75</v>
      </c>
      <c r="C19" s="17">
        <v>132771</v>
      </c>
      <c r="D19" s="17">
        <v>165109</v>
      </c>
      <c r="E19" s="17">
        <f t="shared" si="2"/>
        <v>32338</v>
      </c>
      <c r="F19" s="18">
        <f t="shared" si="3"/>
        <v>0.2435622236783635</v>
      </c>
      <c r="G19" s="20" t="s">
        <v>59</v>
      </c>
    </row>
    <row r="20" spans="2:7" x14ac:dyDescent="0.2">
      <c r="B20" s="16" t="s">
        <v>76</v>
      </c>
      <c r="C20" s="17">
        <v>23627</v>
      </c>
      <c r="D20" s="17">
        <v>49738</v>
      </c>
      <c r="E20" s="17">
        <f t="shared" si="2"/>
        <v>26111</v>
      </c>
      <c r="F20" s="18">
        <f t="shared" si="3"/>
        <v>1.1051339569137004</v>
      </c>
      <c r="G20" s="20" t="s">
        <v>59</v>
      </c>
    </row>
    <row r="21" spans="2:7" x14ac:dyDescent="0.2">
      <c r="B21" s="16" t="s">
        <v>77</v>
      </c>
      <c r="C21" s="17">
        <v>216</v>
      </c>
      <c r="D21" s="17">
        <v>5555</v>
      </c>
      <c r="E21" s="17">
        <f t="shared" si="2"/>
        <v>5339</v>
      </c>
      <c r="F21" s="18">
        <f t="shared" si="3"/>
        <v>24.717592592592592</v>
      </c>
      <c r="G21" s="20" t="s">
        <v>59</v>
      </c>
    </row>
    <row r="22" spans="2:7" x14ac:dyDescent="0.2">
      <c r="B22" s="16" t="s">
        <v>78</v>
      </c>
      <c r="C22" s="17">
        <v>62732</v>
      </c>
      <c r="D22" s="17">
        <v>40591</v>
      </c>
      <c r="E22" s="17">
        <f t="shared" si="2"/>
        <v>-22141</v>
      </c>
      <c r="F22" s="18">
        <f t="shared" si="3"/>
        <v>-0.35294586494930819</v>
      </c>
      <c r="G22" s="19" t="s">
        <v>59</v>
      </c>
    </row>
    <row r="23" spans="2:7" x14ac:dyDescent="0.2">
      <c r="B23" s="16" t="s">
        <v>79</v>
      </c>
      <c r="C23" s="17">
        <v>15451</v>
      </c>
      <c r="D23" s="17">
        <v>20440</v>
      </c>
      <c r="E23" s="17">
        <f t="shared" si="2"/>
        <v>4989</v>
      </c>
      <c r="F23" s="18">
        <f t="shared" si="3"/>
        <v>0.32289172221862661</v>
      </c>
      <c r="G23" s="20" t="s">
        <v>59</v>
      </c>
    </row>
    <row r="24" spans="2:7" x14ac:dyDescent="0.2">
      <c r="B24" s="16" t="s">
        <v>80</v>
      </c>
      <c r="C24" s="17">
        <v>89990</v>
      </c>
      <c r="D24" s="17">
        <v>87399</v>
      </c>
      <c r="E24" s="17">
        <f t="shared" si="2"/>
        <v>-2591</v>
      </c>
      <c r="F24" s="18">
        <f t="shared" si="3"/>
        <v>-2.8792088009778866E-2</v>
      </c>
      <c r="G24" s="19" t="s">
        <v>59</v>
      </c>
    </row>
    <row r="25" spans="2:7" x14ac:dyDescent="0.2">
      <c r="B25" s="16" t="s">
        <v>81</v>
      </c>
      <c r="C25" s="17">
        <v>77218</v>
      </c>
      <c r="D25" s="17">
        <v>68780</v>
      </c>
      <c r="E25" s="17">
        <f t="shared" si="2"/>
        <v>-8438</v>
      </c>
      <c r="F25" s="18">
        <f t="shared" si="3"/>
        <v>-0.10927503949856252</v>
      </c>
      <c r="G25" s="19" t="s">
        <v>59</v>
      </c>
    </row>
    <row r="26" spans="2:7" x14ac:dyDescent="0.2">
      <c r="B26" s="16" t="s">
        <v>82</v>
      </c>
      <c r="C26" s="17">
        <v>10729</v>
      </c>
      <c r="D26" s="17">
        <v>28077</v>
      </c>
      <c r="E26" s="17">
        <f t="shared" si="2"/>
        <v>17348</v>
      </c>
      <c r="F26" s="18">
        <f t="shared" si="3"/>
        <v>1.6169260881722434</v>
      </c>
      <c r="G26" s="20" t="s">
        <v>59</v>
      </c>
    </row>
    <row r="27" spans="2:7" x14ac:dyDescent="0.2">
      <c r="B27" s="16" t="s">
        <v>83</v>
      </c>
      <c r="C27" s="17">
        <v>20022</v>
      </c>
      <c r="D27" s="17">
        <v>6827</v>
      </c>
      <c r="E27" s="17">
        <f t="shared" si="2"/>
        <v>-13195</v>
      </c>
      <c r="F27" s="18">
        <f t="shared" si="3"/>
        <v>-0.65902507242033759</v>
      </c>
      <c r="G27" s="19" t="s">
        <v>59</v>
      </c>
    </row>
    <row r="28" spans="2:7" x14ac:dyDescent="0.2">
      <c r="B28" s="16" t="s">
        <v>84</v>
      </c>
      <c r="C28" s="17">
        <v>20513</v>
      </c>
      <c r="D28" s="17">
        <v>0</v>
      </c>
      <c r="E28" s="17">
        <f t="shared" si="2"/>
        <v>-20513</v>
      </c>
      <c r="F28" s="18">
        <f t="shared" si="3"/>
        <v>-1</v>
      </c>
      <c r="G28" s="19" t="s">
        <v>59</v>
      </c>
    </row>
    <row r="29" spans="2:7" x14ac:dyDescent="0.2">
      <c r="B29" s="16" t="s">
        <v>85</v>
      </c>
      <c r="C29" s="17">
        <v>15151</v>
      </c>
      <c r="D29" s="17">
        <v>6330</v>
      </c>
      <c r="E29" s="17">
        <f t="shared" si="2"/>
        <v>-8821</v>
      </c>
      <c r="F29" s="18">
        <f t="shared" si="3"/>
        <v>-0.58220579499702985</v>
      </c>
      <c r="G29" s="19" t="s">
        <v>59</v>
      </c>
    </row>
    <row r="30" spans="2:7" x14ac:dyDescent="0.2">
      <c r="B30" s="16" t="s">
        <v>86</v>
      </c>
      <c r="C30" s="17">
        <v>15629</v>
      </c>
      <c r="D30" s="17">
        <v>2525</v>
      </c>
      <c r="E30" s="17">
        <f t="shared" si="2"/>
        <v>-13104</v>
      </c>
      <c r="F30" s="18">
        <f t="shared" si="3"/>
        <v>-0.83844135901209293</v>
      </c>
      <c r="G30" s="19" t="s">
        <v>59</v>
      </c>
    </row>
    <row r="31" spans="2:7" x14ac:dyDescent="0.2">
      <c r="B31" s="16" t="s">
        <v>87</v>
      </c>
      <c r="C31" s="17">
        <v>4074</v>
      </c>
      <c r="D31" s="17">
        <v>394</v>
      </c>
      <c r="E31" s="17">
        <f t="shared" si="2"/>
        <v>-3680</v>
      </c>
      <c r="F31" s="18">
        <f t="shared" si="3"/>
        <v>-0.90328915071183113</v>
      </c>
      <c r="G31" s="19" t="s">
        <v>59</v>
      </c>
    </row>
    <row r="32" spans="2:7" x14ac:dyDescent="0.2">
      <c r="B32" s="16" t="s">
        <v>88</v>
      </c>
      <c r="C32" s="17">
        <v>105000</v>
      </c>
      <c r="D32" s="17">
        <v>114166</v>
      </c>
      <c r="E32" s="17">
        <f t="shared" si="2"/>
        <v>9166</v>
      </c>
      <c r="F32" s="18">
        <f t="shared" si="3"/>
        <v>8.7295238095238092E-2</v>
      </c>
      <c r="G32" s="19" t="s">
        <v>59</v>
      </c>
    </row>
    <row r="33" spans="2:7" x14ac:dyDescent="0.2">
      <c r="B33" s="16" t="s">
        <v>89</v>
      </c>
      <c r="C33" s="17">
        <v>60722</v>
      </c>
      <c r="D33" s="17">
        <v>55843</v>
      </c>
      <c r="E33" s="17">
        <f t="shared" si="2"/>
        <v>-4879</v>
      </c>
      <c r="F33" s="18">
        <f t="shared" si="3"/>
        <v>-8.0349790850103756E-2</v>
      </c>
      <c r="G33" s="19" t="s">
        <v>59</v>
      </c>
    </row>
    <row r="34" spans="2:7" x14ac:dyDescent="0.2">
      <c r="B34" s="16" t="s">
        <v>90</v>
      </c>
      <c r="C34" s="17">
        <v>6711</v>
      </c>
      <c r="D34" s="17">
        <v>7915</v>
      </c>
      <c r="E34" s="17">
        <f t="shared" si="2"/>
        <v>1204</v>
      </c>
      <c r="F34" s="18">
        <f t="shared" si="3"/>
        <v>0.17940694382357325</v>
      </c>
      <c r="G34" s="19" t="s">
        <v>59</v>
      </c>
    </row>
    <row r="35" spans="2:7" x14ac:dyDescent="0.2">
      <c r="B35" s="16" t="s">
        <v>91</v>
      </c>
      <c r="C35" s="17">
        <v>16302</v>
      </c>
      <c r="D35" s="17">
        <v>14383</v>
      </c>
      <c r="E35" s="17">
        <f t="shared" si="2"/>
        <v>-1919</v>
      </c>
      <c r="F35" s="18">
        <f t="shared" si="3"/>
        <v>-0.11771561771561771</v>
      </c>
      <c r="G35" s="19" t="s">
        <v>59</v>
      </c>
    </row>
    <row r="36" spans="2:7" x14ac:dyDescent="0.2">
      <c r="B36" s="16" t="s">
        <v>92</v>
      </c>
      <c r="C36" s="17">
        <v>2150</v>
      </c>
      <c r="D36" s="17">
        <v>3400</v>
      </c>
      <c r="E36" s="17">
        <f t="shared" si="2"/>
        <v>1250</v>
      </c>
      <c r="F36" s="18">
        <f t="shared" si="3"/>
        <v>0.58139534883720934</v>
      </c>
      <c r="G36" s="20" t="s">
        <v>59</v>
      </c>
    </row>
    <row r="37" spans="2:7" x14ac:dyDescent="0.2">
      <c r="B37" s="16" t="s">
        <v>93</v>
      </c>
      <c r="C37" s="17">
        <v>1712280</v>
      </c>
      <c r="D37" s="17">
        <v>1883159</v>
      </c>
      <c r="E37" s="17">
        <f t="shared" si="2"/>
        <v>170879</v>
      </c>
      <c r="F37" s="18">
        <f t="shared" si="3"/>
        <v>9.9796178195155003E-2</v>
      </c>
      <c r="G37" s="19" t="s">
        <v>59</v>
      </c>
    </row>
    <row r="38" spans="2:7" x14ac:dyDescent="0.2">
      <c r="B38" s="16" t="s">
        <v>94</v>
      </c>
      <c r="C38" s="17">
        <v>106087</v>
      </c>
      <c r="D38" s="17">
        <v>-95092</v>
      </c>
      <c r="E38" s="17">
        <f t="shared" si="2"/>
        <v>-201179</v>
      </c>
      <c r="F38" s="18">
        <f t="shared" si="3"/>
        <v>-1.8963586490333406</v>
      </c>
      <c r="G38" s="20" t="s">
        <v>59</v>
      </c>
    </row>
  </sheetData>
  <mergeCells count="3">
    <mergeCell ref="B2:G2"/>
    <mergeCell ref="B9:G9"/>
    <mergeCell ref="B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zoomScaleNormal="100" workbookViewId="0"/>
  </sheetViews>
  <sheetFormatPr baseColWidth="10" defaultColWidth="8.6640625" defaultRowHeight="15" customHeight="1" x14ac:dyDescent="0.2"/>
  <cols>
    <col min="1" max="1" width="2" customWidth="1"/>
    <col min="2" max="2" width="30" customWidth="1"/>
    <col min="3" max="7" width="14" customWidth="1"/>
  </cols>
  <sheetData>
    <row r="1" spans="1:7" x14ac:dyDescent="0.2">
      <c r="A1" s="15"/>
      <c r="B1" s="15" t="s">
        <v>51</v>
      </c>
      <c r="C1" s="15" t="s">
        <v>52</v>
      </c>
      <c r="D1" s="15" t="s">
        <v>53</v>
      </c>
      <c r="E1" s="15" t="s">
        <v>54</v>
      </c>
      <c r="F1" s="15" t="s">
        <v>55</v>
      </c>
      <c r="G1" s="15" t="s">
        <v>56</v>
      </c>
    </row>
    <row r="2" spans="1:7" x14ac:dyDescent="0.2">
      <c r="B2" s="4" t="s">
        <v>57</v>
      </c>
      <c r="C2" s="4"/>
      <c r="D2" s="4"/>
      <c r="E2" s="4"/>
      <c r="F2" s="4"/>
      <c r="G2" s="4"/>
    </row>
    <row r="3" spans="1:7" x14ac:dyDescent="0.2">
      <c r="B3" s="16" t="s">
        <v>58</v>
      </c>
      <c r="C3" s="17">
        <v>1241829</v>
      </c>
      <c r="D3" s="17">
        <v>1472848</v>
      </c>
      <c r="E3" s="17">
        <f t="shared" ref="E3:E8" si="0">D3-C3</f>
        <v>231019</v>
      </c>
      <c r="F3" s="18">
        <f t="shared" ref="F3:F8" si="1">IFERROR(E3/ABS(C3),0)</f>
        <v>0.18603124906891366</v>
      </c>
      <c r="G3" s="19" t="s">
        <v>59</v>
      </c>
    </row>
    <row r="4" spans="1:7" x14ac:dyDescent="0.2">
      <c r="B4" s="16" t="s">
        <v>60</v>
      </c>
      <c r="C4" s="17">
        <v>600592</v>
      </c>
      <c r="D4" s="17">
        <v>629239</v>
      </c>
      <c r="E4" s="17">
        <f t="shared" si="0"/>
        <v>28647</v>
      </c>
      <c r="F4" s="18">
        <f t="shared" si="1"/>
        <v>4.7697938034472656E-2</v>
      </c>
      <c r="G4" s="19" t="s">
        <v>59</v>
      </c>
    </row>
    <row r="5" spans="1:7" x14ac:dyDescent="0.2">
      <c r="B5" s="16" t="s">
        <v>61</v>
      </c>
      <c r="C5" s="17">
        <v>3806491</v>
      </c>
      <c r="D5" s="17">
        <v>3913263</v>
      </c>
      <c r="E5" s="17">
        <f t="shared" si="0"/>
        <v>106772</v>
      </c>
      <c r="F5" s="18">
        <f t="shared" si="1"/>
        <v>2.8049980940451455E-2</v>
      </c>
      <c r="G5" s="19" t="s">
        <v>59</v>
      </c>
    </row>
    <row r="6" spans="1:7" x14ac:dyDescent="0.2">
      <c r="B6" s="16" t="s">
        <v>62</v>
      </c>
      <c r="C6" s="17">
        <v>1404653</v>
      </c>
      <c r="D6" s="17">
        <v>1836689</v>
      </c>
      <c r="E6" s="17">
        <f t="shared" si="0"/>
        <v>432036</v>
      </c>
      <c r="F6" s="18">
        <f t="shared" si="1"/>
        <v>0.30757489572157681</v>
      </c>
      <c r="G6" s="19" t="s">
        <v>59</v>
      </c>
    </row>
    <row r="7" spans="1:7" x14ac:dyDescent="0.2">
      <c r="B7" s="16" t="s">
        <v>63</v>
      </c>
      <c r="C7" s="17">
        <v>118824</v>
      </c>
      <c r="D7" s="17">
        <v>148739</v>
      </c>
      <c r="E7" s="17">
        <f t="shared" si="0"/>
        <v>29915</v>
      </c>
      <c r="F7" s="18">
        <f t="shared" si="1"/>
        <v>0.25175890392513295</v>
      </c>
      <c r="G7" s="19" t="s">
        <v>59</v>
      </c>
    </row>
    <row r="8" spans="1:7" x14ac:dyDescent="0.2">
      <c r="B8" s="16" t="s">
        <v>64</v>
      </c>
      <c r="C8" s="17">
        <v>7172559</v>
      </c>
      <c r="D8" s="17">
        <v>8000838</v>
      </c>
      <c r="E8" s="17">
        <f t="shared" si="0"/>
        <v>828279</v>
      </c>
      <c r="F8" s="18">
        <f t="shared" si="1"/>
        <v>0.11547886883886212</v>
      </c>
      <c r="G8" s="19" t="s">
        <v>59</v>
      </c>
    </row>
    <row r="9" spans="1:7" x14ac:dyDescent="0.2">
      <c r="B9" s="4" t="s">
        <v>65</v>
      </c>
      <c r="C9" s="4"/>
      <c r="D9" s="4"/>
      <c r="E9" s="4"/>
      <c r="F9" s="4"/>
      <c r="G9" s="4"/>
    </row>
    <row r="10" spans="1:7" x14ac:dyDescent="0.2">
      <c r="B10" s="16" t="s">
        <v>66</v>
      </c>
      <c r="C10" s="17">
        <v>116366</v>
      </c>
      <c r="D10" s="17">
        <v>136275</v>
      </c>
      <c r="E10" s="17">
        <f>D10-C10</f>
        <v>19909</v>
      </c>
      <c r="F10" s="18">
        <f>IFERROR(E10/ABS(C10),0)</f>
        <v>0.1710894934946634</v>
      </c>
      <c r="G10" s="19" t="s">
        <v>59</v>
      </c>
    </row>
    <row r="11" spans="1:7" x14ac:dyDescent="0.2">
      <c r="B11" s="16" t="s">
        <v>67</v>
      </c>
      <c r="C11" s="17">
        <v>2308772</v>
      </c>
      <c r="D11" s="17">
        <v>2398985</v>
      </c>
      <c r="E11" s="17">
        <f>D11-C11</f>
        <v>90213</v>
      </c>
      <c r="F11" s="18">
        <f>IFERROR(E11/ABS(C11),0)</f>
        <v>3.9074018569178769E-2</v>
      </c>
      <c r="G11" s="19" t="s">
        <v>59</v>
      </c>
    </row>
    <row r="12" spans="1:7" x14ac:dyDescent="0.2">
      <c r="B12" s="16" t="s">
        <v>68</v>
      </c>
      <c r="C12" s="17">
        <v>1174918</v>
      </c>
      <c r="D12" s="17">
        <v>1483619</v>
      </c>
      <c r="E12" s="17">
        <f>D12-C12</f>
        <v>308701</v>
      </c>
      <c r="F12" s="18">
        <f>IFERROR(E12/ABS(C12),0)</f>
        <v>0.26274259139786776</v>
      </c>
      <c r="G12" s="19" t="s">
        <v>59</v>
      </c>
    </row>
    <row r="13" spans="1:7" x14ac:dyDescent="0.2">
      <c r="B13" s="16" t="s">
        <v>69</v>
      </c>
      <c r="C13" s="17">
        <v>3600056</v>
      </c>
      <c r="D13" s="17">
        <v>4018879</v>
      </c>
      <c r="E13" s="17">
        <f>D13-C13</f>
        <v>418823</v>
      </c>
      <c r="F13" s="18">
        <f>IFERROR(E13/ABS(C13),0)</f>
        <v>0.11633791252136078</v>
      </c>
      <c r="G13" s="19" t="s">
        <v>59</v>
      </c>
    </row>
    <row r="14" spans="1:7" x14ac:dyDescent="0.2">
      <c r="B14" s="16" t="s">
        <v>70</v>
      </c>
      <c r="C14" s="17">
        <v>3572503</v>
      </c>
      <c r="D14" s="17">
        <v>3982259</v>
      </c>
      <c r="E14" s="17">
        <f>D14-C14</f>
        <v>409756</v>
      </c>
      <c r="F14" s="18">
        <f>IFERROR(E14/ABS(C14),0)</f>
        <v>0.11469717450202281</v>
      </c>
      <c r="G14" s="19" t="s">
        <v>59</v>
      </c>
    </row>
    <row r="15" spans="1:7" x14ac:dyDescent="0.2">
      <c r="B15" s="4" t="s">
        <v>71</v>
      </c>
      <c r="C15" s="4"/>
      <c r="D15" s="4"/>
      <c r="E15" s="4"/>
      <c r="F15" s="4"/>
      <c r="G15" s="4"/>
    </row>
    <row r="16" spans="1:7" x14ac:dyDescent="0.2">
      <c r="B16" s="16" t="s">
        <v>72</v>
      </c>
      <c r="C16" s="17">
        <v>1027985</v>
      </c>
      <c r="D16" s="17">
        <v>1102682</v>
      </c>
      <c r="E16" s="17">
        <f t="shared" ref="E16:E38" si="2">D16-C16</f>
        <v>74697</v>
      </c>
      <c r="F16" s="18">
        <f t="shared" ref="F16:F38" si="3">IFERROR(E16/ABS(C16),0)</f>
        <v>7.2663511627115179E-2</v>
      </c>
      <c r="G16" s="19" t="s">
        <v>59</v>
      </c>
    </row>
    <row r="17" spans="2:7" x14ac:dyDescent="0.2">
      <c r="B17" s="16" t="s">
        <v>73</v>
      </c>
      <c r="C17" s="17">
        <v>87424</v>
      </c>
      <c r="D17" s="17">
        <v>85049</v>
      </c>
      <c r="E17" s="17">
        <f t="shared" si="2"/>
        <v>-2375</v>
      </c>
      <c r="F17" s="18">
        <f t="shared" si="3"/>
        <v>-2.7166453147877013E-2</v>
      </c>
      <c r="G17" s="19" t="s">
        <v>59</v>
      </c>
    </row>
    <row r="18" spans="2:7" x14ac:dyDescent="0.2">
      <c r="B18" s="16" t="s">
        <v>74</v>
      </c>
      <c r="C18" s="17">
        <v>55306</v>
      </c>
      <c r="D18" s="17">
        <v>51285</v>
      </c>
      <c r="E18" s="17">
        <f t="shared" si="2"/>
        <v>-4021</v>
      </c>
      <c r="F18" s="18">
        <f t="shared" si="3"/>
        <v>-7.2704589013850213E-2</v>
      </c>
      <c r="G18" s="19" t="s">
        <v>59</v>
      </c>
    </row>
    <row r="19" spans="2:7" x14ac:dyDescent="0.2">
      <c r="B19" s="16" t="s">
        <v>75</v>
      </c>
      <c r="C19" s="17">
        <v>165109</v>
      </c>
      <c r="D19" s="17">
        <v>172654</v>
      </c>
      <c r="E19" s="17">
        <f t="shared" si="2"/>
        <v>7545</v>
      </c>
      <c r="F19" s="18">
        <f t="shared" si="3"/>
        <v>4.5697084955998765E-2</v>
      </c>
      <c r="G19" s="19" t="s">
        <v>59</v>
      </c>
    </row>
    <row r="20" spans="2:7" x14ac:dyDescent="0.2">
      <c r="B20" s="16" t="s">
        <v>76</v>
      </c>
      <c r="C20" s="17">
        <v>49738</v>
      </c>
      <c r="D20" s="17">
        <v>45700</v>
      </c>
      <c r="E20" s="17">
        <f t="shared" si="2"/>
        <v>-4038</v>
      </c>
      <c r="F20" s="18">
        <f t="shared" si="3"/>
        <v>-8.1185411556556356E-2</v>
      </c>
      <c r="G20" s="19" t="s">
        <v>59</v>
      </c>
    </row>
    <row r="21" spans="2:7" x14ac:dyDescent="0.2">
      <c r="B21" s="16" t="s">
        <v>77</v>
      </c>
      <c r="C21" s="17">
        <v>5555</v>
      </c>
      <c r="D21" s="17">
        <v>578</v>
      </c>
      <c r="E21" s="17">
        <f t="shared" si="2"/>
        <v>-4977</v>
      </c>
      <c r="F21" s="18">
        <f t="shared" si="3"/>
        <v>-0.895949594959496</v>
      </c>
      <c r="G21" s="19" t="s">
        <v>59</v>
      </c>
    </row>
    <row r="22" spans="2:7" x14ac:dyDescent="0.2">
      <c r="B22" s="16" t="s">
        <v>78</v>
      </c>
      <c r="C22" s="17">
        <v>40591</v>
      </c>
      <c r="D22" s="17">
        <v>34553</v>
      </c>
      <c r="E22" s="17">
        <f t="shared" si="2"/>
        <v>-6038</v>
      </c>
      <c r="F22" s="18">
        <f t="shared" si="3"/>
        <v>-0.14875218644527111</v>
      </c>
      <c r="G22" s="19" t="s">
        <v>59</v>
      </c>
    </row>
    <row r="23" spans="2:7" x14ac:dyDescent="0.2">
      <c r="B23" s="16" t="s">
        <v>79</v>
      </c>
      <c r="C23" s="17">
        <v>20440</v>
      </c>
      <c r="D23" s="17">
        <v>21979</v>
      </c>
      <c r="E23" s="17">
        <f t="shared" si="2"/>
        <v>1539</v>
      </c>
      <c r="F23" s="18">
        <f t="shared" si="3"/>
        <v>7.5293542074363992E-2</v>
      </c>
      <c r="G23" s="19" t="s">
        <v>59</v>
      </c>
    </row>
    <row r="24" spans="2:7" x14ac:dyDescent="0.2">
      <c r="B24" s="16" t="s">
        <v>80</v>
      </c>
      <c r="C24" s="17">
        <v>87399</v>
      </c>
      <c r="D24" s="17">
        <v>102878</v>
      </c>
      <c r="E24" s="17">
        <f t="shared" si="2"/>
        <v>15479</v>
      </c>
      <c r="F24" s="18">
        <f t="shared" si="3"/>
        <v>0.17710728955708877</v>
      </c>
      <c r="G24" s="20" t="s">
        <v>95</v>
      </c>
    </row>
    <row r="25" spans="2:7" x14ac:dyDescent="0.2">
      <c r="B25" s="16" t="s">
        <v>81</v>
      </c>
      <c r="C25" s="17">
        <v>68780</v>
      </c>
      <c r="D25" s="17">
        <v>112973</v>
      </c>
      <c r="E25" s="17">
        <f t="shared" si="2"/>
        <v>44193</v>
      </c>
      <c r="F25" s="18">
        <f t="shared" si="3"/>
        <v>0.64252689735388191</v>
      </c>
      <c r="G25" s="19" t="s">
        <v>59</v>
      </c>
    </row>
    <row r="26" spans="2:7" x14ac:dyDescent="0.2">
      <c r="B26" s="16" t="s">
        <v>82</v>
      </c>
      <c r="C26" s="17">
        <v>28077</v>
      </c>
      <c r="D26" s="17">
        <v>19591</v>
      </c>
      <c r="E26" s="17">
        <f t="shared" si="2"/>
        <v>-8486</v>
      </c>
      <c r="F26" s="18">
        <f t="shared" si="3"/>
        <v>-0.30224026783488267</v>
      </c>
      <c r="G26" s="19" t="s">
        <v>59</v>
      </c>
    </row>
    <row r="27" spans="2:7" x14ac:dyDescent="0.2">
      <c r="B27" s="16" t="s">
        <v>83</v>
      </c>
      <c r="C27" s="17">
        <v>6827</v>
      </c>
      <c r="D27" s="17">
        <v>3640</v>
      </c>
      <c r="E27" s="17">
        <f t="shared" si="2"/>
        <v>-3187</v>
      </c>
      <c r="F27" s="18">
        <f t="shared" si="3"/>
        <v>-0.46682290903764467</v>
      </c>
      <c r="G27" s="19" t="s">
        <v>59</v>
      </c>
    </row>
    <row r="28" spans="2:7" x14ac:dyDescent="0.2">
      <c r="B28" s="16" t="s">
        <v>87</v>
      </c>
      <c r="C28" s="17">
        <v>394</v>
      </c>
      <c r="D28" s="17">
        <v>10853</v>
      </c>
      <c r="E28" s="17">
        <f t="shared" si="2"/>
        <v>10459</v>
      </c>
      <c r="F28" s="18">
        <f t="shared" si="3"/>
        <v>26.545685279187818</v>
      </c>
      <c r="G28" s="20" t="s">
        <v>95</v>
      </c>
    </row>
    <row r="29" spans="2:7" x14ac:dyDescent="0.2">
      <c r="B29" s="16" t="s">
        <v>96</v>
      </c>
      <c r="C29" s="17">
        <v>0</v>
      </c>
      <c r="D29" s="17">
        <v>30382</v>
      </c>
      <c r="E29" s="17">
        <f t="shared" si="2"/>
        <v>30382</v>
      </c>
      <c r="F29" s="18">
        <f t="shared" si="3"/>
        <v>0</v>
      </c>
      <c r="G29" s="20" t="s">
        <v>95</v>
      </c>
    </row>
    <row r="30" spans="2:7" x14ac:dyDescent="0.2">
      <c r="B30" s="16" t="s">
        <v>85</v>
      </c>
      <c r="C30" s="17">
        <v>6330</v>
      </c>
      <c r="D30" s="17">
        <v>0</v>
      </c>
      <c r="E30" s="17">
        <f t="shared" si="2"/>
        <v>-6330</v>
      </c>
      <c r="F30" s="18">
        <f t="shared" si="3"/>
        <v>-1</v>
      </c>
      <c r="G30" s="19" t="s">
        <v>59</v>
      </c>
    </row>
    <row r="31" spans="2:7" x14ac:dyDescent="0.2">
      <c r="B31" s="16" t="s">
        <v>86</v>
      </c>
      <c r="C31" s="17">
        <v>2525</v>
      </c>
      <c r="D31" s="17">
        <v>644</v>
      </c>
      <c r="E31" s="17">
        <f t="shared" si="2"/>
        <v>-1881</v>
      </c>
      <c r="F31" s="18">
        <f t="shared" si="3"/>
        <v>-0.74495049504950495</v>
      </c>
      <c r="G31" s="19" t="s">
        <v>59</v>
      </c>
    </row>
    <row r="32" spans="2:7" x14ac:dyDescent="0.2">
      <c r="B32" s="16" t="s">
        <v>88</v>
      </c>
      <c r="C32" s="17">
        <v>114166</v>
      </c>
      <c r="D32" s="17">
        <v>102000</v>
      </c>
      <c r="E32" s="17">
        <f t="shared" si="2"/>
        <v>-12166</v>
      </c>
      <c r="F32" s="18">
        <f t="shared" si="3"/>
        <v>-0.10656412592190319</v>
      </c>
      <c r="G32" s="19" t="s">
        <v>59</v>
      </c>
    </row>
    <row r="33" spans="2:7" x14ac:dyDescent="0.2">
      <c r="B33" s="16" t="s">
        <v>89</v>
      </c>
      <c r="C33" s="17">
        <v>55843</v>
      </c>
      <c r="D33" s="17">
        <v>64758</v>
      </c>
      <c r="E33" s="17">
        <f t="shared" si="2"/>
        <v>8915</v>
      </c>
      <c r="F33" s="18">
        <f t="shared" si="3"/>
        <v>0.15964400193399353</v>
      </c>
      <c r="G33" s="19" t="s">
        <v>59</v>
      </c>
    </row>
    <row r="34" spans="2:7" x14ac:dyDescent="0.2">
      <c r="B34" s="16" t="s">
        <v>90</v>
      </c>
      <c r="C34" s="17">
        <v>7915</v>
      </c>
      <c r="D34" s="17">
        <v>5871</v>
      </c>
      <c r="E34" s="17">
        <f t="shared" si="2"/>
        <v>-2044</v>
      </c>
      <c r="F34" s="18">
        <f t="shared" si="3"/>
        <v>-0.25824384080859131</v>
      </c>
      <c r="G34" s="19" t="s">
        <v>59</v>
      </c>
    </row>
    <row r="35" spans="2:7" x14ac:dyDescent="0.2">
      <c r="B35" s="16" t="s">
        <v>91</v>
      </c>
      <c r="C35" s="17">
        <v>14383</v>
      </c>
      <c r="D35" s="17">
        <v>21100</v>
      </c>
      <c r="E35" s="17">
        <f t="shared" si="2"/>
        <v>6717</v>
      </c>
      <c r="F35" s="18">
        <f t="shared" si="3"/>
        <v>0.46700966418688727</v>
      </c>
      <c r="G35" s="19" t="s">
        <v>59</v>
      </c>
    </row>
    <row r="36" spans="2:7" x14ac:dyDescent="0.2">
      <c r="B36" s="16" t="s">
        <v>97</v>
      </c>
      <c r="C36" s="17">
        <v>582</v>
      </c>
      <c r="D36" s="17">
        <v>1789</v>
      </c>
      <c r="E36" s="17">
        <f t="shared" si="2"/>
        <v>1207</v>
      </c>
      <c r="F36" s="18">
        <f t="shared" si="3"/>
        <v>2.0738831615120277</v>
      </c>
      <c r="G36" s="19" t="s">
        <v>59</v>
      </c>
    </row>
    <row r="37" spans="2:7" x14ac:dyDescent="0.2">
      <c r="B37" s="16" t="s">
        <v>93</v>
      </c>
      <c r="C37" s="17">
        <v>1883159</v>
      </c>
      <c r="D37" s="17">
        <v>2056133</v>
      </c>
      <c r="E37" s="17">
        <f t="shared" si="2"/>
        <v>172974</v>
      </c>
      <c r="F37" s="18">
        <f t="shared" si="3"/>
        <v>9.185310427850224E-2</v>
      </c>
      <c r="G37" s="19" t="s">
        <v>59</v>
      </c>
    </row>
    <row r="38" spans="2:7" x14ac:dyDescent="0.2">
      <c r="B38" s="16" t="s">
        <v>94</v>
      </c>
      <c r="C38" s="17">
        <v>-95092</v>
      </c>
      <c r="D38" s="17">
        <v>-24725</v>
      </c>
      <c r="E38" s="17">
        <f t="shared" si="2"/>
        <v>70367</v>
      </c>
      <c r="F38" s="18">
        <f t="shared" si="3"/>
        <v>0.73998864257771424</v>
      </c>
      <c r="G38" s="19" t="s">
        <v>59</v>
      </c>
    </row>
  </sheetData>
  <mergeCells count="3">
    <mergeCell ref="B2:G2"/>
    <mergeCell ref="B9:G9"/>
    <mergeCell ref="B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5"/>
  <sheetViews>
    <sheetView zoomScaleNormal="100" workbookViewId="0"/>
  </sheetViews>
  <sheetFormatPr baseColWidth="10" defaultColWidth="8.6640625" defaultRowHeight="15" customHeight="1" x14ac:dyDescent="0.2"/>
  <cols>
    <col min="1" max="1" width="2" customWidth="1"/>
    <col min="2" max="2" width="30" customWidth="1"/>
    <col min="3" max="7" width="14" customWidth="1"/>
  </cols>
  <sheetData>
    <row r="1" spans="1:7" x14ac:dyDescent="0.2">
      <c r="A1" s="15"/>
      <c r="B1" s="15" t="s">
        <v>98</v>
      </c>
      <c r="C1" s="15" t="s">
        <v>99</v>
      </c>
      <c r="D1" s="15" t="s">
        <v>100</v>
      </c>
      <c r="E1" s="15" t="s">
        <v>54</v>
      </c>
      <c r="F1" s="15" t="s">
        <v>55</v>
      </c>
      <c r="G1" s="15" t="s">
        <v>101</v>
      </c>
    </row>
    <row r="2" spans="1:7" x14ac:dyDescent="0.2">
      <c r="B2" s="16" t="s">
        <v>102</v>
      </c>
      <c r="C2" s="17">
        <v>140850.01</v>
      </c>
      <c r="D2" s="17">
        <v>356822.27</v>
      </c>
      <c r="E2" s="17">
        <f t="shared" ref="E2:E65" si="0">D2-C2</f>
        <v>215972.26</v>
      </c>
      <c r="F2" s="18">
        <f t="shared" ref="F2:F65" si="1">IFERROR(E2/ABS(C2),0)</f>
        <v>1.5333492699077551</v>
      </c>
      <c r="G2" s="21" t="s">
        <v>103</v>
      </c>
    </row>
    <row r="3" spans="1:7" x14ac:dyDescent="0.2">
      <c r="B3" s="16" t="s">
        <v>104</v>
      </c>
      <c r="C3" s="17">
        <v>178775.86</v>
      </c>
      <c r="D3" s="17">
        <v>0</v>
      </c>
      <c r="E3" s="17">
        <f t="shared" si="0"/>
        <v>-178775.86</v>
      </c>
      <c r="F3" s="18">
        <f t="shared" si="1"/>
        <v>-1</v>
      </c>
      <c r="G3" s="22" t="s">
        <v>105</v>
      </c>
    </row>
    <row r="4" spans="1:7" x14ac:dyDescent="0.2">
      <c r="B4" s="16" t="s">
        <v>106</v>
      </c>
      <c r="C4" s="17">
        <v>134736.99</v>
      </c>
      <c r="D4" s="17">
        <v>56874.84</v>
      </c>
      <c r="E4" s="17">
        <f t="shared" si="0"/>
        <v>-77862.149999999994</v>
      </c>
      <c r="F4" s="18">
        <f t="shared" si="1"/>
        <v>-0.57788251021490089</v>
      </c>
      <c r="G4" s="22" t="s">
        <v>107</v>
      </c>
    </row>
    <row r="5" spans="1:7" x14ac:dyDescent="0.2">
      <c r="B5" s="16" t="s">
        <v>108</v>
      </c>
      <c r="C5" s="17">
        <v>135700.5</v>
      </c>
      <c r="D5" s="17">
        <v>205213.38</v>
      </c>
      <c r="E5" s="17">
        <f t="shared" si="0"/>
        <v>69512.88</v>
      </c>
      <c r="F5" s="18">
        <f t="shared" si="1"/>
        <v>0.5122522024605658</v>
      </c>
      <c r="G5" s="21" t="s">
        <v>103</v>
      </c>
    </row>
    <row r="6" spans="1:7" x14ac:dyDescent="0.2">
      <c r="B6" s="16" t="s">
        <v>109</v>
      </c>
      <c r="C6" s="17">
        <v>0</v>
      </c>
      <c r="D6" s="17">
        <v>65972.45</v>
      </c>
      <c r="E6" s="17">
        <f t="shared" si="0"/>
        <v>65972.45</v>
      </c>
      <c r="F6" s="18">
        <f t="shared" si="1"/>
        <v>0</v>
      </c>
      <c r="G6" s="21" t="s">
        <v>110</v>
      </c>
    </row>
    <row r="7" spans="1:7" x14ac:dyDescent="0.2">
      <c r="B7" s="16" t="s">
        <v>111</v>
      </c>
      <c r="C7" s="17">
        <v>89270.45</v>
      </c>
      <c r="D7" s="17">
        <v>151917.15</v>
      </c>
      <c r="E7" s="17">
        <f t="shared" si="0"/>
        <v>62646.7</v>
      </c>
      <c r="F7" s="18">
        <f t="shared" si="1"/>
        <v>0.70176301340477165</v>
      </c>
      <c r="G7" s="21" t="s">
        <v>103</v>
      </c>
    </row>
    <row r="8" spans="1:7" x14ac:dyDescent="0.2">
      <c r="B8" s="16" t="s">
        <v>112</v>
      </c>
      <c r="C8" s="17">
        <v>0</v>
      </c>
      <c r="D8" s="17">
        <v>50554.69</v>
      </c>
      <c r="E8" s="17">
        <f t="shared" si="0"/>
        <v>50554.69</v>
      </c>
      <c r="F8" s="18">
        <f t="shared" si="1"/>
        <v>0</v>
      </c>
      <c r="G8" s="21" t="s">
        <v>110</v>
      </c>
    </row>
    <row r="9" spans="1:7" x14ac:dyDescent="0.2">
      <c r="B9" s="16" t="s">
        <v>113</v>
      </c>
      <c r="C9" s="17">
        <v>2139.09</v>
      </c>
      <c r="D9" s="17">
        <v>50044.25</v>
      </c>
      <c r="E9" s="17">
        <f t="shared" si="0"/>
        <v>47905.16</v>
      </c>
      <c r="F9" s="18">
        <f t="shared" si="1"/>
        <v>22.395111940124071</v>
      </c>
      <c r="G9" s="21" t="s">
        <v>103</v>
      </c>
    </row>
    <row r="10" spans="1:7" x14ac:dyDescent="0.2">
      <c r="B10" s="16" t="s">
        <v>114</v>
      </c>
      <c r="C10" s="17">
        <v>44981.86</v>
      </c>
      <c r="D10" s="17">
        <v>0</v>
      </c>
      <c r="E10" s="17">
        <f t="shared" si="0"/>
        <v>-44981.86</v>
      </c>
      <c r="F10" s="18">
        <f t="shared" si="1"/>
        <v>-1</v>
      </c>
      <c r="G10" s="22" t="s">
        <v>105</v>
      </c>
    </row>
    <row r="11" spans="1:7" x14ac:dyDescent="0.2">
      <c r="B11" s="16" t="s">
        <v>115</v>
      </c>
      <c r="C11" s="17">
        <v>44553.57</v>
      </c>
      <c r="D11" s="17">
        <v>-12</v>
      </c>
      <c r="E11" s="17">
        <f t="shared" si="0"/>
        <v>-44565.57</v>
      </c>
      <c r="F11" s="18">
        <f t="shared" si="1"/>
        <v>-1.0002693386859909</v>
      </c>
      <c r="G11" s="22" t="s">
        <v>107</v>
      </c>
    </row>
    <row r="12" spans="1:7" x14ac:dyDescent="0.2">
      <c r="B12" s="16" t="s">
        <v>116</v>
      </c>
      <c r="C12" s="17">
        <v>14808.07</v>
      </c>
      <c r="D12" s="17">
        <v>43523.34</v>
      </c>
      <c r="E12" s="17">
        <f t="shared" si="0"/>
        <v>28715.269999999997</v>
      </c>
      <c r="F12" s="18">
        <f t="shared" si="1"/>
        <v>1.9391635776978362</v>
      </c>
      <c r="G12" s="21" t="s">
        <v>103</v>
      </c>
    </row>
    <row r="13" spans="1:7" x14ac:dyDescent="0.2">
      <c r="B13" s="16" t="s">
        <v>117</v>
      </c>
      <c r="C13" s="17">
        <v>15642.07</v>
      </c>
      <c r="D13" s="17">
        <v>38602.129999999997</v>
      </c>
      <c r="E13" s="17">
        <f t="shared" si="0"/>
        <v>22960.059999999998</v>
      </c>
      <c r="F13" s="18">
        <f t="shared" si="1"/>
        <v>1.4678402538794417</v>
      </c>
      <c r="G13" s="21" t="s">
        <v>103</v>
      </c>
    </row>
    <row r="14" spans="1:7" x14ac:dyDescent="0.2">
      <c r="B14" s="16" t="s">
        <v>118</v>
      </c>
      <c r="C14" s="17">
        <v>21797.8</v>
      </c>
      <c r="D14" s="17">
        <v>0</v>
      </c>
      <c r="E14" s="17">
        <f t="shared" si="0"/>
        <v>-21797.8</v>
      </c>
      <c r="F14" s="18">
        <f t="shared" si="1"/>
        <v>-1</v>
      </c>
      <c r="G14" s="22" t="s">
        <v>105</v>
      </c>
    </row>
    <row r="15" spans="1:7" x14ac:dyDescent="0.2">
      <c r="B15" s="16" t="s">
        <v>119</v>
      </c>
      <c r="C15" s="17">
        <v>0</v>
      </c>
      <c r="D15" s="17">
        <v>21388.12</v>
      </c>
      <c r="E15" s="17">
        <f t="shared" si="0"/>
        <v>21388.12</v>
      </c>
      <c r="F15" s="18">
        <f t="shared" si="1"/>
        <v>0</v>
      </c>
      <c r="G15" s="21" t="s">
        <v>110</v>
      </c>
    </row>
    <row r="16" spans="1:7" x14ac:dyDescent="0.2">
      <c r="B16" s="16" t="s">
        <v>120</v>
      </c>
      <c r="C16" s="17">
        <v>23703.78</v>
      </c>
      <c r="D16" s="17">
        <v>2468.9699999999998</v>
      </c>
      <c r="E16" s="17">
        <f t="shared" si="0"/>
        <v>-21234.809999999998</v>
      </c>
      <c r="F16" s="18">
        <f t="shared" si="1"/>
        <v>-0.89584066338786461</v>
      </c>
      <c r="G16" s="22" t="s">
        <v>107</v>
      </c>
    </row>
    <row r="17" spans="2:7" x14ac:dyDescent="0.2">
      <c r="B17" s="16" t="s">
        <v>121</v>
      </c>
      <c r="C17" s="17">
        <v>27787.58</v>
      </c>
      <c r="D17" s="17">
        <v>6614.96</v>
      </c>
      <c r="E17" s="17">
        <f t="shared" si="0"/>
        <v>-21172.620000000003</v>
      </c>
      <c r="F17" s="18">
        <f t="shared" si="1"/>
        <v>-0.76194544469147729</v>
      </c>
      <c r="G17" s="22" t="s">
        <v>107</v>
      </c>
    </row>
    <row r="18" spans="2:7" x14ac:dyDescent="0.2">
      <c r="B18" s="16" t="s">
        <v>122</v>
      </c>
      <c r="C18" s="17">
        <v>0</v>
      </c>
      <c r="D18" s="17">
        <v>21092.43</v>
      </c>
      <c r="E18" s="17">
        <f t="shared" si="0"/>
        <v>21092.43</v>
      </c>
      <c r="F18" s="18">
        <f t="shared" si="1"/>
        <v>0</v>
      </c>
      <c r="G18" s="21" t="s">
        <v>110</v>
      </c>
    </row>
    <row r="19" spans="2:7" x14ac:dyDescent="0.2">
      <c r="B19" s="16" t="s">
        <v>123</v>
      </c>
      <c r="C19" s="17">
        <v>52511.41</v>
      </c>
      <c r="D19" s="17">
        <v>73235.09</v>
      </c>
      <c r="E19" s="17">
        <f t="shared" si="0"/>
        <v>20723.679999999993</v>
      </c>
      <c r="F19" s="18">
        <f t="shared" si="1"/>
        <v>0.39465099108936497</v>
      </c>
      <c r="G19" s="21" t="s">
        <v>103</v>
      </c>
    </row>
    <row r="20" spans="2:7" x14ac:dyDescent="0.2">
      <c r="B20" s="16" t="s">
        <v>124</v>
      </c>
      <c r="C20" s="17">
        <v>93100.38</v>
      </c>
      <c r="D20" s="17">
        <v>112604.4</v>
      </c>
      <c r="E20" s="17">
        <f t="shared" si="0"/>
        <v>19504.01999999999</v>
      </c>
      <c r="F20" s="18">
        <f t="shared" si="1"/>
        <v>0.20949452623071987</v>
      </c>
      <c r="G20" s="21" t="s">
        <v>103</v>
      </c>
    </row>
    <row r="21" spans="2:7" x14ac:dyDescent="0.2">
      <c r="B21" s="16" t="s">
        <v>125</v>
      </c>
      <c r="C21" s="17">
        <v>20569.240000000002</v>
      </c>
      <c r="D21" s="17">
        <v>1573.17</v>
      </c>
      <c r="E21" s="17">
        <f t="shared" si="0"/>
        <v>-18996.07</v>
      </c>
      <c r="F21" s="18">
        <f t="shared" si="1"/>
        <v>-0.92351832153254076</v>
      </c>
      <c r="G21" s="22" t="s">
        <v>107</v>
      </c>
    </row>
    <row r="22" spans="2:7" x14ac:dyDescent="0.2">
      <c r="B22" s="16" t="s">
        <v>126</v>
      </c>
      <c r="C22" s="17">
        <v>29734.32</v>
      </c>
      <c r="D22" s="17">
        <v>10759.41</v>
      </c>
      <c r="E22" s="17">
        <f t="shared" si="0"/>
        <v>-18974.91</v>
      </c>
      <c r="F22" s="18">
        <f t="shared" si="1"/>
        <v>-0.63814844260773407</v>
      </c>
      <c r="G22" s="22" t="s">
        <v>107</v>
      </c>
    </row>
    <row r="23" spans="2:7" x14ac:dyDescent="0.2">
      <c r="B23" s="16" t="s">
        <v>127</v>
      </c>
      <c r="C23" s="17">
        <v>0</v>
      </c>
      <c r="D23" s="17">
        <v>17685.05</v>
      </c>
      <c r="E23" s="17">
        <f t="shared" si="0"/>
        <v>17685.05</v>
      </c>
      <c r="F23" s="18">
        <f t="shared" si="1"/>
        <v>0</v>
      </c>
      <c r="G23" s="21" t="s">
        <v>110</v>
      </c>
    </row>
    <row r="24" spans="2:7" x14ac:dyDescent="0.2">
      <c r="B24" s="16" t="s">
        <v>128</v>
      </c>
      <c r="C24" s="17">
        <v>16976.29</v>
      </c>
      <c r="D24" s="17">
        <v>0</v>
      </c>
      <c r="E24" s="17">
        <f t="shared" si="0"/>
        <v>-16976.29</v>
      </c>
      <c r="F24" s="18">
        <f t="shared" si="1"/>
        <v>-1</v>
      </c>
      <c r="G24" s="22" t="s">
        <v>105</v>
      </c>
    </row>
    <row r="25" spans="2:7" x14ac:dyDescent="0.2">
      <c r="B25" s="16" t="s">
        <v>129</v>
      </c>
      <c r="C25" s="17">
        <v>61800.72</v>
      </c>
      <c r="D25" s="17">
        <v>46345.11</v>
      </c>
      <c r="E25" s="17">
        <f t="shared" si="0"/>
        <v>-15455.61</v>
      </c>
      <c r="F25" s="18">
        <f t="shared" si="1"/>
        <v>-0.2500878630540227</v>
      </c>
      <c r="G25" s="22" t="s">
        <v>107</v>
      </c>
    </row>
    <row r="26" spans="2:7" x14ac:dyDescent="0.2">
      <c r="B26" s="16" t="s">
        <v>130</v>
      </c>
      <c r="C26" s="17">
        <v>12468.51</v>
      </c>
      <c r="D26" s="17">
        <v>27724.12</v>
      </c>
      <c r="E26" s="17">
        <f t="shared" si="0"/>
        <v>15255.609999999999</v>
      </c>
      <c r="F26" s="18">
        <f t="shared" si="1"/>
        <v>1.2235311195964873</v>
      </c>
      <c r="G26" s="21" t="s">
        <v>103</v>
      </c>
    </row>
    <row r="27" spans="2:7" x14ac:dyDescent="0.2">
      <c r="B27" s="16" t="s">
        <v>131</v>
      </c>
      <c r="C27" s="17">
        <v>0</v>
      </c>
      <c r="D27" s="17">
        <v>14384.42</v>
      </c>
      <c r="E27" s="17">
        <f t="shared" si="0"/>
        <v>14384.42</v>
      </c>
      <c r="F27" s="18">
        <f t="shared" si="1"/>
        <v>0</v>
      </c>
      <c r="G27" s="21" t="s">
        <v>110</v>
      </c>
    </row>
    <row r="28" spans="2:7" x14ac:dyDescent="0.2">
      <c r="B28" s="16" t="s">
        <v>132</v>
      </c>
      <c r="C28" s="17">
        <v>13835.58</v>
      </c>
      <c r="D28" s="17">
        <v>0</v>
      </c>
      <c r="E28" s="17">
        <f t="shared" si="0"/>
        <v>-13835.58</v>
      </c>
      <c r="F28" s="18">
        <f t="shared" si="1"/>
        <v>-1</v>
      </c>
      <c r="G28" s="22" t="s">
        <v>105</v>
      </c>
    </row>
    <row r="29" spans="2:7" x14ac:dyDescent="0.2">
      <c r="B29" s="16" t="s">
        <v>133</v>
      </c>
      <c r="C29" s="17">
        <v>12777.35</v>
      </c>
      <c r="D29" s="17">
        <v>0</v>
      </c>
      <c r="E29" s="17">
        <f t="shared" si="0"/>
        <v>-12777.35</v>
      </c>
      <c r="F29" s="18">
        <f t="shared" si="1"/>
        <v>-1</v>
      </c>
      <c r="G29" s="22" t="s">
        <v>105</v>
      </c>
    </row>
    <row r="30" spans="2:7" x14ac:dyDescent="0.2">
      <c r="B30" s="16" t="s">
        <v>134</v>
      </c>
      <c r="C30" s="17">
        <v>0</v>
      </c>
      <c r="D30" s="17">
        <v>12060.07</v>
      </c>
      <c r="E30" s="17">
        <f t="shared" si="0"/>
        <v>12060.07</v>
      </c>
      <c r="F30" s="18">
        <f t="shared" si="1"/>
        <v>0</v>
      </c>
      <c r="G30" s="21" t="s">
        <v>110</v>
      </c>
    </row>
    <row r="31" spans="2:7" x14ac:dyDescent="0.2">
      <c r="B31" s="16" t="s">
        <v>135</v>
      </c>
      <c r="C31" s="17">
        <v>11599.07</v>
      </c>
      <c r="D31" s="17">
        <v>0</v>
      </c>
      <c r="E31" s="17">
        <f t="shared" si="0"/>
        <v>-11599.07</v>
      </c>
      <c r="F31" s="18">
        <f t="shared" si="1"/>
        <v>-1</v>
      </c>
      <c r="G31" s="22" t="s">
        <v>105</v>
      </c>
    </row>
    <row r="32" spans="2:7" x14ac:dyDescent="0.2">
      <c r="B32" s="16" t="s">
        <v>136</v>
      </c>
      <c r="C32" s="17">
        <v>0</v>
      </c>
      <c r="D32" s="17">
        <v>11191.06</v>
      </c>
      <c r="E32" s="17">
        <f t="shared" si="0"/>
        <v>11191.06</v>
      </c>
      <c r="F32" s="18">
        <f t="shared" si="1"/>
        <v>0</v>
      </c>
      <c r="G32" s="21" t="s">
        <v>110</v>
      </c>
    </row>
    <row r="33" spans="2:7" x14ac:dyDescent="0.2">
      <c r="B33" s="16" t="s">
        <v>137</v>
      </c>
      <c r="C33" s="17">
        <v>0</v>
      </c>
      <c r="D33" s="17">
        <v>10738.62</v>
      </c>
      <c r="E33" s="17">
        <f t="shared" si="0"/>
        <v>10738.62</v>
      </c>
      <c r="F33" s="18">
        <f t="shared" si="1"/>
        <v>0</v>
      </c>
      <c r="G33" s="21" t="s">
        <v>110</v>
      </c>
    </row>
    <row r="34" spans="2:7" x14ac:dyDescent="0.2">
      <c r="B34" s="16" t="s">
        <v>138</v>
      </c>
      <c r="C34" s="17">
        <v>14069.96</v>
      </c>
      <c r="D34" s="17">
        <v>4048.29</v>
      </c>
      <c r="E34" s="17">
        <f t="shared" si="0"/>
        <v>-10021.669999999998</v>
      </c>
      <c r="F34" s="18">
        <f t="shared" si="1"/>
        <v>-0.71227423532120904</v>
      </c>
      <c r="G34" s="22" t="s">
        <v>107</v>
      </c>
    </row>
    <row r="35" spans="2:7" x14ac:dyDescent="0.2">
      <c r="B35" s="16" t="s">
        <v>139</v>
      </c>
      <c r="C35" s="17">
        <v>0</v>
      </c>
      <c r="D35" s="17">
        <v>9829.36</v>
      </c>
      <c r="E35" s="17">
        <f t="shared" si="0"/>
        <v>9829.36</v>
      </c>
      <c r="F35" s="18">
        <f t="shared" si="1"/>
        <v>0</v>
      </c>
      <c r="G35" s="21" t="s">
        <v>110</v>
      </c>
    </row>
    <row r="36" spans="2:7" x14ac:dyDescent="0.2">
      <c r="B36" s="16" t="s">
        <v>140</v>
      </c>
      <c r="C36" s="17">
        <v>6846.53</v>
      </c>
      <c r="D36" s="17">
        <v>16381.89</v>
      </c>
      <c r="E36" s="17">
        <f t="shared" si="0"/>
        <v>9535.36</v>
      </c>
      <c r="F36" s="18">
        <f t="shared" si="1"/>
        <v>1.3927288714136943</v>
      </c>
      <c r="G36" s="21" t="s">
        <v>103</v>
      </c>
    </row>
    <row r="37" spans="2:7" x14ac:dyDescent="0.2">
      <c r="B37" s="16" t="s">
        <v>141</v>
      </c>
      <c r="C37" s="17">
        <v>0</v>
      </c>
      <c r="D37" s="17">
        <v>8047.35</v>
      </c>
      <c r="E37" s="17">
        <f t="shared" si="0"/>
        <v>8047.35</v>
      </c>
      <c r="F37" s="18">
        <f t="shared" si="1"/>
        <v>0</v>
      </c>
      <c r="G37" s="21" t="s">
        <v>110</v>
      </c>
    </row>
    <row r="38" spans="2:7" x14ac:dyDescent="0.2">
      <c r="B38" s="16" t="s">
        <v>142</v>
      </c>
      <c r="C38" s="17">
        <v>26670.75</v>
      </c>
      <c r="D38" s="17">
        <v>34323.68</v>
      </c>
      <c r="E38" s="17">
        <f t="shared" si="0"/>
        <v>7652.93</v>
      </c>
      <c r="F38" s="18">
        <f t="shared" si="1"/>
        <v>0.28694093716899599</v>
      </c>
      <c r="G38" s="21" t="s">
        <v>103</v>
      </c>
    </row>
    <row r="39" spans="2:7" x14ac:dyDescent="0.2">
      <c r="B39" s="16" t="s">
        <v>143</v>
      </c>
      <c r="C39" s="17">
        <v>99.55</v>
      </c>
      <c r="D39" s="17">
        <v>7731.76</v>
      </c>
      <c r="E39" s="17">
        <f t="shared" si="0"/>
        <v>7632.21</v>
      </c>
      <c r="F39" s="18">
        <f t="shared" si="1"/>
        <v>76.667101958814669</v>
      </c>
      <c r="G39" s="21" t="s">
        <v>103</v>
      </c>
    </row>
    <row r="40" spans="2:7" x14ac:dyDescent="0.2">
      <c r="B40" s="16" t="s">
        <v>144</v>
      </c>
      <c r="C40" s="17">
        <v>0</v>
      </c>
      <c r="D40" s="17">
        <v>7570.96</v>
      </c>
      <c r="E40" s="17">
        <f t="shared" si="0"/>
        <v>7570.96</v>
      </c>
      <c r="F40" s="18">
        <f t="shared" si="1"/>
        <v>0</v>
      </c>
      <c r="G40" s="21" t="s">
        <v>110</v>
      </c>
    </row>
    <row r="41" spans="2:7" x14ac:dyDescent="0.2">
      <c r="B41" s="16" t="s">
        <v>145</v>
      </c>
      <c r="C41" s="17">
        <v>5242.1899999999996</v>
      </c>
      <c r="D41" s="17">
        <v>12793.45</v>
      </c>
      <c r="E41" s="17">
        <f t="shared" si="0"/>
        <v>7551.2600000000011</v>
      </c>
      <c r="F41" s="18">
        <f t="shared" si="1"/>
        <v>1.4404781207853972</v>
      </c>
      <c r="G41" s="21" t="s">
        <v>103</v>
      </c>
    </row>
    <row r="42" spans="2:7" x14ac:dyDescent="0.2">
      <c r="B42" s="16" t="s">
        <v>146</v>
      </c>
      <c r="C42" s="17">
        <v>7552.96</v>
      </c>
      <c r="D42" s="17">
        <v>36.549999999999997</v>
      </c>
      <c r="E42" s="17">
        <f t="shared" si="0"/>
        <v>-7516.41</v>
      </c>
      <c r="F42" s="18">
        <f t="shared" si="1"/>
        <v>-0.99516083760538909</v>
      </c>
      <c r="G42" s="22" t="s">
        <v>107</v>
      </c>
    </row>
    <row r="43" spans="2:7" x14ac:dyDescent="0.2">
      <c r="B43" s="16" t="s">
        <v>147</v>
      </c>
      <c r="C43" s="17">
        <v>7096.9</v>
      </c>
      <c r="D43" s="17">
        <v>0</v>
      </c>
      <c r="E43" s="17">
        <f t="shared" si="0"/>
        <v>-7096.9</v>
      </c>
      <c r="F43" s="18">
        <f t="shared" si="1"/>
        <v>-1</v>
      </c>
      <c r="G43" s="22" t="s">
        <v>105</v>
      </c>
    </row>
    <row r="44" spans="2:7" x14ac:dyDescent="0.2">
      <c r="B44" s="16" t="s">
        <v>148</v>
      </c>
      <c r="C44" s="17">
        <v>30274.62</v>
      </c>
      <c r="D44" s="17">
        <v>23200.35</v>
      </c>
      <c r="E44" s="17">
        <f t="shared" si="0"/>
        <v>-7074.27</v>
      </c>
      <c r="F44" s="18">
        <f t="shared" si="1"/>
        <v>-0.23366998495769725</v>
      </c>
      <c r="G44" s="22" t="s">
        <v>107</v>
      </c>
    </row>
    <row r="45" spans="2:7" x14ac:dyDescent="0.2">
      <c r="B45" s="16" t="s">
        <v>149</v>
      </c>
      <c r="C45" s="17">
        <v>0</v>
      </c>
      <c r="D45" s="17">
        <v>6954.64</v>
      </c>
      <c r="E45" s="17">
        <f t="shared" si="0"/>
        <v>6954.64</v>
      </c>
      <c r="F45" s="18">
        <f t="shared" si="1"/>
        <v>0</v>
      </c>
      <c r="G45" s="21" t="s">
        <v>110</v>
      </c>
    </row>
    <row r="46" spans="2:7" x14ac:dyDescent="0.2">
      <c r="B46" s="16" t="s">
        <v>150</v>
      </c>
      <c r="C46" s="17">
        <v>6797.61</v>
      </c>
      <c r="D46" s="17">
        <v>0</v>
      </c>
      <c r="E46" s="17">
        <f t="shared" si="0"/>
        <v>-6797.61</v>
      </c>
      <c r="F46" s="18">
        <f t="shared" si="1"/>
        <v>-1</v>
      </c>
      <c r="G46" s="22" t="s">
        <v>105</v>
      </c>
    </row>
    <row r="47" spans="2:7" x14ac:dyDescent="0.2">
      <c r="B47" s="16" t="s">
        <v>151</v>
      </c>
      <c r="C47" s="17">
        <v>0</v>
      </c>
      <c r="D47" s="17">
        <v>6614.94</v>
      </c>
      <c r="E47" s="17">
        <f t="shared" si="0"/>
        <v>6614.94</v>
      </c>
      <c r="F47" s="18">
        <f t="shared" si="1"/>
        <v>0</v>
      </c>
      <c r="G47" s="21" t="s">
        <v>110</v>
      </c>
    </row>
    <row r="48" spans="2:7" x14ac:dyDescent="0.2">
      <c r="B48" s="16" t="s">
        <v>152</v>
      </c>
      <c r="C48" s="17">
        <v>479199.4</v>
      </c>
      <c r="D48" s="17">
        <v>472788.36</v>
      </c>
      <c r="E48" s="17">
        <f t="shared" si="0"/>
        <v>-6411.0400000000373</v>
      </c>
      <c r="F48" s="18">
        <f t="shared" si="1"/>
        <v>-1.3378647802981466E-2</v>
      </c>
      <c r="G48" s="22" t="s">
        <v>107</v>
      </c>
    </row>
    <row r="49" spans="2:7" x14ac:dyDescent="0.2">
      <c r="B49" s="16" t="s">
        <v>153</v>
      </c>
      <c r="C49" s="17">
        <v>0</v>
      </c>
      <c r="D49" s="17">
        <v>6358.26</v>
      </c>
      <c r="E49" s="17">
        <f t="shared" si="0"/>
        <v>6358.26</v>
      </c>
      <c r="F49" s="18">
        <f t="shared" si="1"/>
        <v>0</v>
      </c>
      <c r="G49" s="21" t="s">
        <v>110</v>
      </c>
    </row>
    <row r="50" spans="2:7" x14ac:dyDescent="0.2">
      <c r="B50" s="16" t="s">
        <v>154</v>
      </c>
      <c r="C50" s="17">
        <v>0</v>
      </c>
      <c r="D50" s="17">
        <v>5954.03</v>
      </c>
      <c r="E50" s="17">
        <f t="shared" si="0"/>
        <v>5954.03</v>
      </c>
      <c r="F50" s="18">
        <f t="shared" si="1"/>
        <v>0</v>
      </c>
      <c r="G50" s="21" t="s">
        <v>110</v>
      </c>
    </row>
    <row r="51" spans="2:7" x14ac:dyDescent="0.2">
      <c r="B51" s="16" t="s">
        <v>155</v>
      </c>
      <c r="C51" s="17">
        <v>39742.01</v>
      </c>
      <c r="D51" s="17">
        <v>34104.42</v>
      </c>
      <c r="E51" s="17">
        <f t="shared" si="0"/>
        <v>-5637.5900000000038</v>
      </c>
      <c r="F51" s="18">
        <f t="shared" si="1"/>
        <v>-0.14185467720429851</v>
      </c>
      <c r="G51" s="22" t="s">
        <v>107</v>
      </c>
    </row>
    <row r="52" spans="2:7" x14ac:dyDescent="0.2">
      <c r="B52" s="16" t="s">
        <v>156</v>
      </c>
      <c r="C52" s="17">
        <v>0</v>
      </c>
      <c r="D52" s="17">
        <v>5609.47</v>
      </c>
      <c r="E52" s="17">
        <f t="shared" si="0"/>
        <v>5609.47</v>
      </c>
      <c r="F52" s="18">
        <f t="shared" si="1"/>
        <v>0</v>
      </c>
      <c r="G52" s="21" t="s">
        <v>110</v>
      </c>
    </row>
    <row r="53" spans="2:7" x14ac:dyDescent="0.2">
      <c r="B53" s="16" t="s">
        <v>157</v>
      </c>
      <c r="C53" s="17">
        <v>0</v>
      </c>
      <c r="D53" s="17">
        <v>5412.25</v>
      </c>
      <c r="E53" s="17">
        <f t="shared" si="0"/>
        <v>5412.25</v>
      </c>
      <c r="F53" s="18">
        <f t="shared" si="1"/>
        <v>0</v>
      </c>
      <c r="G53" s="21" t="s">
        <v>110</v>
      </c>
    </row>
    <row r="54" spans="2:7" x14ac:dyDescent="0.2">
      <c r="B54" s="16" t="s">
        <v>158</v>
      </c>
      <c r="C54" s="17">
        <v>8454.74</v>
      </c>
      <c r="D54" s="17">
        <v>13842.38</v>
      </c>
      <c r="E54" s="17">
        <f t="shared" si="0"/>
        <v>5387.6399999999994</v>
      </c>
      <c r="F54" s="18">
        <f t="shared" si="1"/>
        <v>0.63723307872270463</v>
      </c>
      <c r="G54" s="21" t="s">
        <v>103</v>
      </c>
    </row>
    <row r="55" spans="2:7" x14ac:dyDescent="0.2">
      <c r="B55" s="16" t="s">
        <v>159</v>
      </c>
      <c r="C55" s="17">
        <v>5542.11</v>
      </c>
      <c r="D55" s="17">
        <v>182.45</v>
      </c>
      <c r="E55" s="17">
        <f t="shared" si="0"/>
        <v>-5359.66</v>
      </c>
      <c r="F55" s="18">
        <f t="shared" si="1"/>
        <v>-0.96707932538329267</v>
      </c>
      <c r="G55" s="22" t="s">
        <v>107</v>
      </c>
    </row>
    <row r="56" spans="2:7" x14ac:dyDescent="0.2">
      <c r="B56" s="16" t="s">
        <v>160</v>
      </c>
      <c r="C56" s="17">
        <v>14690.27</v>
      </c>
      <c r="D56" s="17">
        <v>19831.240000000002</v>
      </c>
      <c r="E56" s="17">
        <f t="shared" si="0"/>
        <v>5140.9700000000012</v>
      </c>
      <c r="F56" s="18">
        <f t="shared" si="1"/>
        <v>0.34995748886848238</v>
      </c>
      <c r="G56" s="21" t="s">
        <v>103</v>
      </c>
    </row>
    <row r="57" spans="2:7" x14ac:dyDescent="0.2">
      <c r="B57" s="16" t="s">
        <v>161</v>
      </c>
      <c r="C57" s="17">
        <v>7119.56</v>
      </c>
      <c r="D57" s="17">
        <v>2059.5500000000002</v>
      </c>
      <c r="E57" s="17">
        <f t="shared" si="0"/>
        <v>-5060.01</v>
      </c>
      <c r="F57" s="18">
        <f t="shared" si="1"/>
        <v>-0.71071948266465901</v>
      </c>
      <c r="G57" s="22" t="s">
        <v>107</v>
      </c>
    </row>
    <row r="58" spans="2:7" x14ac:dyDescent="0.2">
      <c r="B58" s="16" t="s">
        <v>162</v>
      </c>
      <c r="C58" s="17">
        <v>5488.19</v>
      </c>
      <c r="D58" s="17">
        <v>627.11</v>
      </c>
      <c r="E58" s="17">
        <f t="shared" si="0"/>
        <v>-4861.08</v>
      </c>
      <c r="F58" s="18">
        <f t="shared" si="1"/>
        <v>-0.88573464111118605</v>
      </c>
      <c r="G58" s="22" t="s">
        <v>107</v>
      </c>
    </row>
    <row r="59" spans="2:7" x14ac:dyDescent="0.2">
      <c r="B59" s="16" t="s">
        <v>163</v>
      </c>
      <c r="C59" s="17">
        <v>0</v>
      </c>
      <c r="D59" s="17">
        <v>4612.99</v>
      </c>
      <c r="E59" s="17">
        <f t="shared" si="0"/>
        <v>4612.99</v>
      </c>
      <c r="F59" s="18">
        <f t="shared" si="1"/>
        <v>0</v>
      </c>
      <c r="G59" s="21" t="s">
        <v>110</v>
      </c>
    </row>
    <row r="60" spans="2:7" x14ac:dyDescent="0.2">
      <c r="B60" s="16" t="s">
        <v>164</v>
      </c>
      <c r="C60" s="17">
        <v>261.81</v>
      </c>
      <c r="D60" s="17">
        <v>4819.0200000000004</v>
      </c>
      <c r="E60" s="17">
        <f t="shared" si="0"/>
        <v>4557.21</v>
      </c>
      <c r="F60" s="18">
        <f t="shared" si="1"/>
        <v>17.406554371490774</v>
      </c>
      <c r="G60" s="21" t="s">
        <v>103</v>
      </c>
    </row>
    <row r="61" spans="2:7" x14ac:dyDescent="0.2">
      <c r="B61" s="16" t="s">
        <v>165</v>
      </c>
      <c r="C61" s="17">
        <v>4647.8599999999997</v>
      </c>
      <c r="D61" s="17">
        <v>98.15</v>
      </c>
      <c r="E61" s="17">
        <f t="shared" si="0"/>
        <v>-4549.71</v>
      </c>
      <c r="F61" s="18">
        <f t="shared" si="1"/>
        <v>-0.97888275464407282</v>
      </c>
      <c r="G61" s="22" t="s">
        <v>107</v>
      </c>
    </row>
    <row r="62" spans="2:7" x14ac:dyDescent="0.2">
      <c r="B62" s="16" t="s">
        <v>166</v>
      </c>
      <c r="C62" s="17">
        <v>4462.51</v>
      </c>
      <c r="D62" s="17">
        <v>0</v>
      </c>
      <c r="E62" s="17">
        <f t="shared" si="0"/>
        <v>-4462.51</v>
      </c>
      <c r="F62" s="18">
        <f t="shared" si="1"/>
        <v>-1</v>
      </c>
      <c r="G62" s="22" t="s">
        <v>105</v>
      </c>
    </row>
    <row r="63" spans="2:7" x14ac:dyDescent="0.2">
      <c r="B63" s="16" t="s">
        <v>167</v>
      </c>
      <c r="C63" s="17">
        <v>15209.98</v>
      </c>
      <c r="D63" s="17">
        <v>10926.41</v>
      </c>
      <c r="E63" s="17">
        <f t="shared" si="0"/>
        <v>-4283.57</v>
      </c>
      <c r="F63" s="18">
        <f t="shared" si="1"/>
        <v>-0.28162890418001862</v>
      </c>
      <c r="G63" s="22" t="s">
        <v>107</v>
      </c>
    </row>
    <row r="64" spans="2:7" x14ac:dyDescent="0.2">
      <c r="B64" s="16" t="s">
        <v>168</v>
      </c>
      <c r="C64" s="17">
        <v>0</v>
      </c>
      <c r="D64" s="17">
        <v>4266.28</v>
      </c>
      <c r="E64" s="17">
        <f t="shared" si="0"/>
        <v>4266.28</v>
      </c>
      <c r="F64" s="18">
        <f t="shared" si="1"/>
        <v>0</v>
      </c>
      <c r="G64" s="21" t="s">
        <v>110</v>
      </c>
    </row>
    <row r="65" spans="2:7" x14ac:dyDescent="0.2">
      <c r="B65" s="16" t="s">
        <v>169</v>
      </c>
      <c r="C65" s="17">
        <v>0</v>
      </c>
      <c r="D65" s="17">
        <v>4067.97</v>
      </c>
      <c r="E65" s="17">
        <f t="shared" si="0"/>
        <v>4067.97</v>
      </c>
      <c r="F65" s="18">
        <f t="shared" si="1"/>
        <v>0</v>
      </c>
      <c r="G65" s="21" t="s">
        <v>110</v>
      </c>
    </row>
    <row r="66" spans="2:7" x14ac:dyDescent="0.2">
      <c r="B66" s="16" t="s">
        <v>170</v>
      </c>
      <c r="C66" s="17">
        <v>4329.21</v>
      </c>
      <c r="D66" s="17">
        <v>282.02999999999997</v>
      </c>
      <c r="E66" s="17">
        <f t="shared" ref="E66:E129" si="2">D66-C66</f>
        <v>-4047.1800000000003</v>
      </c>
      <c r="F66" s="18">
        <f t="shared" ref="F66:F129" si="3">IFERROR(E66/ABS(C66),0)</f>
        <v>-0.93485416507861718</v>
      </c>
      <c r="G66" s="22" t="s">
        <v>107</v>
      </c>
    </row>
    <row r="67" spans="2:7" x14ac:dyDescent="0.2">
      <c r="B67" s="16" t="s">
        <v>171</v>
      </c>
      <c r="C67" s="17">
        <v>4018.05</v>
      </c>
      <c r="D67" s="17">
        <v>0</v>
      </c>
      <c r="E67" s="17">
        <f t="shared" si="2"/>
        <v>-4018.05</v>
      </c>
      <c r="F67" s="18">
        <f t="shared" si="3"/>
        <v>-1</v>
      </c>
      <c r="G67" s="22" t="s">
        <v>105</v>
      </c>
    </row>
    <row r="68" spans="2:7" x14ac:dyDescent="0.2">
      <c r="B68" s="16" t="s">
        <v>172</v>
      </c>
      <c r="C68" s="17">
        <v>0</v>
      </c>
      <c r="D68" s="17">
        <v>3857.99</v>
      </c>
      <c r="E68" s="17">
        <f t="shared" si="2"/>
        <v>3857.99</v>
      </c>
      <c r="F68" s="18">
        <f t="shared" si="3"/>
        <v>0</v>
      </c>
      <c r="G68" s="21" t="s">
        <v>110</v>
      </c>
    </row>
    <row r="69" spans="2:7" x14ac:dyDescent="0.2">
      <c r="B69" s="16" t="s">
        <v>173</v>
      </c>
      <c r="C69" s="17">
        <v>8515.56</v>
      </c>
      <c r="D69" s="17">
        <v>4714.9399999999996</v>
      </c>
      <c r="E69" s="17">
        <f t="shared" si="2"/>
        <v>-3800.62</v>
      </c>
      <c r="F69" s="18">
        <f t="shared" si="3"/>
        <v>-0.44631474618228278</v>
      </c>
      <c r="G69" s="22" t="s">
        <v>107</v>
      </c>
    </row>
    <row r="70" spans="2:7" x14ac:dyDescent="0.2">
      <c r="B70" s="16" t="s">
        <v>174</v>
      </c>
      <c r="C70" s="17">
        <v>0</v>
      </c>
      <c r="D70" s="17">
        <v>3791.9</v>
      </c>
      <c r="E70" s="17">
        <f t="shared" si="2"/>
        <v>3791.9</v>
      </c>
      <c r="F70" s="18">
        <f t="shared" si="3"/>
        <v>0</v>
      </c>
      <c r="G70" s="21" t="s">
        <v>110</v>
      </c>
    </row>
    <row r="71" spans="2:7" x14ac:dyDescent="0.2">
      <c r="B71" s="16" t="s">
        <v>175</v>
      </c>
      <c r="C71" s="17">
        <v>142.5</v>
      </c>
      <c r="D71" s="17">
        <v>3930.74</v>
      </c>
      <c r="E71" s="17">
        <f t="shared" si="2"/>
        <v>3788.24</v>
      </c>
      <c r="F71" s="18">
        <f t="shared" si="3"/>
        <v>26.584140350877192</v>
      </c>
      <c r="G71" s="21" t="s">
        <v>103</v>
      </c>
    </row>
    <row r="72" spans="2:7" x14ac:dyDescent="0.2">
      <c r="B72" s="16" t="s">
        <v>176</v>
      </c>
      <c r="C72" s="17">
        <v>3785.49</v>
      </c>
      <c r="D72" s="17">
        <v>0</v>
      </c>
      <c r="E72" s="17">
        <f t="shared" si="2"/>
        <v>-3785.49</v>
      </c>
      <c r="F72" s="18">
        <f t="shared" si="3"/>
        <v>-1</v>
      </c>
      <c r="G72" s="22" t="s">
        <v>105</v>
      </c>
    </row>
    <row r="73" spans="2:7" x14ac:dyDescent="0.2">
      <c r="B73" s="16" t="s">
        <v>177</v>
      </c>
      <c r="C73" s="17">
        <v>3741.18</v>
      </c>
      <c r="D73" s="17">
        <v>0</v>
      </c>
      <c r="E73" s="17">
        <f t="shared" si="2"/>
        <v>-3741.18</v>
      </c>
      <c r="F73" s="18">
        <f t="shared" si="3"/>
        <v>-1</v>
      </c>
      <c r="G73" s="22" t="s">
        <v>105</v>
      </c>
    </row>
    <row r="74" spans="2:7" x14ac:dyDescent="0.2">
      <c r="B74" s="16" t="s">
        <v>178</v>
      </c>
      <c r="C74" s="17">
        <v>3715.73</v>
      </c>
      <c r="D74" s="17">
        <v>7284.99</v>
      </c>
      <c r="E74" s="17">
        <f t="shared" si="2"/>
        <v>3569.2599999999998</v>
      </c>
      <c r="F74" s="18">
        <f t="shared" si="3"/>
        <v>0.96058109711954309</v>
      </c>
      <c r="G74" s="21" t="s">
        <v>103</v>
      </c>
    </row>
    <row r="75" spans="2:7" x14ac:dyDescent="0.2">
      <c r="B75" s="16" t="s">
        <v>179</v>
      </c>
      <c r="C75" s="17">
        <v>3275.4</v>
      </c>
      <c r="D75" s="17">
        <v>6818.86</v>
      </c>
      <c r="E75" s="17">
        <f t="shared" si="2"/>
        <v>3543.4599999999996</v>
      </c>
      <c r="F75" s="18">
        <f t="shared" si="3"/>
        <v>1.0818403859070647</v>
      </c>
      <c r="G75" s="21" t="s">
        <v>103</v>
      </c>
    </row>
    <row r="76" spans="2:7" x14ac:dyDescent="0.2">
      <c r="B76" s="16" t="s">
        <v>180</v>
      </c>
      <c r="C76" s="17">
        <v>0</v>
      </c>
      <c r="D76" s="17">
        <v>3425.84</v>
      </c>
      <c r="E76" s="17">
        <f t="shared" si="2"/>
        <v>3425.84</v>
      </c>
      <c r="F76" s="18">
        <f t="shared" si="3"/>
        <v>0</v>
      </c>
      <c r="G76" s="21" t="s">
        <v>110</v>
      </c>
    </row>
    <row r="77" spans="2:7" x14ac:dyDescent="0.2">
      <c r="B77" s="16" t="s">
        <v>181</v>
      </c>
      <c r="C77" s="17">
        <v>5611.97</v>
      </c>
      <c r="D77" s="17">
        <v>2206.08</v>
      </c>
      <c r="E77" s="17">
        <f t="shared" si="2"/>
        <v>-3405.8900000000003</v>
      </c>
      <c r="F77" s="18">
        <f t="shared" si="3"/>
        <v>-0.60689739966535816</v>
      </c>
      <c r="G77" s="22" t="s">
        <v>107</v>
      </c>
    </row>
    <row r="78" spans="2:7" x14ac:dyDescent="0.2">
      <c r="B78" s="16" t="s">
        <v>182</v>
      </c>
      <c r="C78" s="17">
        <v>1380.26</v>
      </c>
      <c r="D78" s="17">
        <v>4781.72</v>
      </c>
      <c r="E78" s="17">
        <f t="shared" si="2"/>
        <v>3401.46</v>
      </c>
      <c r="F78" s="18">
        <f t="shared" si="3"/>
        <v>2.4643617869097127</v>
      </c>
      <c r="G78" s="21" t="s">
        <v>103</v>
      </c>
    </row>
    <row r="79" spans="2:7" x14ac:dyDescent="0.2">
      <c r="B79" s="16" t="s">
        <v>183</v>
      </c>
      <c r="C79" s="17">
        <v>3359.19</v>
      </c>
      <c r="D79" s="17">
        <v>0</v>
      </c>
      <c r="E79" s="17">
        <f t="shared" si="2"/>
        <v>-3359.19</v>
      </c>
      <c r="F79" s="18">
        <f t="shared" si="3"/>
        <v>-1</v>
      </c>
      <c r="G79" s="22" t="s">
        <v>105</v>
      </c>
    </row>
    <row r="80" spans="2:7" x14ac:dyDescent="0.2">
      <c r="B80" s="16" t="s">
        <v>184</v>
      </c>
      <c r="C80" s="17">
        <v>3353.37</v>
      </c>
      <c r="D80" s="17">
        <v>0</v>
      </c>
      <c r="E80" s="17">
        <f t="shared" si="2"/>
        <v>-3353.37</v>
      </c>
      <c r="F80" s="18">
        <f t="shared" si="3"/>
        <v>-1</v>
      </c>
      <c r="G80" s="22" t="s">
        <v>105</v>
      </c>
    </row>
    <row r="81" spans="2:7" x14ac:dyDescent="0.2">
      <c r="B81" s="16" t="s">
        <v>185</v>
      </c>
      <c r="C81" s="17">
        <v>3319.02</v>
      </c>
      <c r="D81" s="17">
        <v>0</v>
      </c>
      <c r="E81" s="17">
        <f t="shared" si="2"/>
        <v>-3319.02</v>
      </c>
      <c r="F81" s="18">
        <f t="shared" si="3"/>
        <v>-1</v>
      </c>
      <c r="G81" s="22" t="s">
        <v>105</v>
      </c>
    </row>
    <row r="82" spans="2:7" x14ac:dyDescent="0.2">
      <c r="B82" s="16" t="s">
        <v>186</v>
      </c>
      <c r="C82" s="17">
        <v>0</v>
      </c>
      <c r="D82" s="17">
        <v>3313.8</v>
      </c>
      <c r="E82" s="17">
        <f t="shared" si="2"/>
        <v>3313.8</v>
      </c>
      <c r="F82" s="18">
        <f t="shared" si="3"/>
        <v>0</v>
      </c>
      <c r="G82" s="21" t="s">
        <v>110</v>
      </c>
    </row>
    <row r="83" spans="2:7" x14ac:dyDescent="0.2">
      <c r="B83" s="16" t="s">
        <v>187</v>
      </c>
      <c r="C83" s="17">
        <v>2136.81</v>
      </c>
      <c r="D83" s="17">
        <v>5344.99</v>
      </c>
      <c r="E83" s="17">
        <f t="shared" si="2"/>
        <v>3208.18</v>
      </c>
      <c r="F83" s="18">
        <f t="shared" si="3"/>
        <v>1.501387582424268</v>
      </c>
      <c r="G83" s="21" t="s">
        <v>103</v>
      </c>
    </row>
    <row r="84" spans="2:7" x14ac:dyDescent="0.2">
      <c r="B84" s="16" t="s">
        <v>188</v>
      </c>
      <c r="C84" s="17">
        <v>4041.36</v>
      </c>
      <c r="D84" s="17">
        <v>867.64</v>
      </c>
      <c r="E84" s="17">
        <f t="shared" si="2"/>
        <v>-3173.7200000000003</v>
      </c>
      <c r="F84" s="18">
        <f t="shared" si="3"/>
        <v>-0.78530989567868248</v>
      </c>
      <c r="G84" s="22" t="s">
        <v>107</v>
      </c>
    </row>
    <row r="85" spans="2:7" x14ac:dyDescent="0.2">
      <c r="B85" s="16" t="s">
        <v>189</v>
      </c>
      <c r="C85" s="17">
        <v>6451.81</v>
      </c>
      <c r="D85" s="17">
        <v>3325.49</v>
      </c>
      <c r="E85" s="17">
        <f t="shared" si="2"/>
        <v>-3126.3200000000006</v>
      </c>
      <c r="F85" s="18">
        <f t="shared" si="3"/>
        <v>-0.48456479654546558</v>
      </c>
      <c r="G85" s="22" t="s">
        <v>107</v>
      </c>
    </row>
    <row r="86" spans="2:7" x14ac:dyDescent="0.2">
      <c r="B86" s="16" t="s">
        <v>190</v>
      </c>
      <c r="C86" s="17">
        <v>0</v>
      </c>
      <c r="D86" s="17">
        <v>2955.71</v>
      </c>
      <c r="E86" s="17">
        <f t="shared" si="2"/>
        <v>2955.71</v>
      </c>
      <c r="F86" s="18">
        <f t="shared" si="3"/>
        <v>0</v>
      </c>
      <c r="G86" s="21" t="s">
        <v>110</v>
      </c>
    </row>
    <row r="87" spans="2:7" x14ac:dyDescent="0.2">
      <c r="B87" s="16" t="s">
        <v>191</v>
      </c>
      <c r="C87" s="17">
        <v>2923.58</v>
      </c>
      <c r="D87" s="17">
        <v>0</v>
      </c>
      <c r="E87" s="17">
        <f t="shared" si="2"/>
        <v>-2923.58</v>
      </c>
      <c r="F87" s="18">
        <f t="shared" si="3"/>
        <v>-1</v>
      </c>
      <c r="G87" s="22" t="s">
        <v>105</v>
      </c>
    </row>
    <row r="88" spans="2:7" x14ac:dyDescent="0.2">
      <c r="B88" s="16" t="s">
        <v>192</v>
      </c>
      <c r="C88" s="17">
        <v>5614.16</v>
      </c>
      <c r="D88" s="17">
        <v>2778.09</v>
      </c>
      <c r="E88" s="17">
        <f t="shared" si="2"/>
        <v>-2836.0699999999997</v>
      </c>
      <c r="F88" s="18">
        <f t="shared" si="3"/>
        <v>-0.50516372885703287</v>
      </c>
      <c r="G88" s="22" t="s">
        <v>107</v>
      </c>
    </row>
    <row r="89" spans="2:7" x14ac:dyDescent="0.2">
      <c r="B89" s="16" t="s">
        <v>193</v>
      </c>
      <c r="C89" s="17">
        <v>2692.39</v>
      </c>
      <c r="D89" s="17">
        <v>0</v>
      </c>
      <c r="E89" s="17">
        <f t="shared" si="2"/>
        <v>-2692.39</v>
      </c>
      <c r="F89" s="18">
        <f t="shared" si="3"/>
        <v>-1</v>
      </c>
      <c r="G89" s="22" t="s">
        <v>105</v>
      </c>
    </row>
    <row r="90" spans="2:7" x14ac:dyDescent="0.2">
      <c r="B90" s="16" t="s">
        <v>194</v>
      </c>
      <c r="C90" s="17">
        <v>0</v>
      </c>
      <c r="D90" s="17">
        <v>2616.64</v>
      </c>
      <c r="E90" s="17">
        <f t="shared" si="2"/>
        <v>2616.64</v>
      </c>
      <c r="F90" s="18">
        <f t="shared" si="3"/>
        <v>0</v>
      </c>
      <c r="G90" s="21" t="s">
        <v>110</v>
      </c>
    </row>
    <row r="91" spans="2:7" x14ac:dyDescent="0.2">
      <c r="B91" s="16" t="s">
        <v>195</v>
      </c>
      <c r="C91" s="17">
        <v>2585.31</v>
      </c>
      <c r="D91" s="17">
        <v>0</v>
      </c>
      <c r="E91" s="17">
        <f t="shared" si="2"/>
        <v>-2585.31</v>
      </c>
      <c r="F91" s="18">
        <f t="shared" si="3"/>
        <v>-1</v>
      </c>
      <c r="G91" s="22" t="s">
        <v>105</v>
      </c>
    </row>
    <row r="92" spans="2:7" x14ac:dyDescent="0.2">
      <c r="B92" s="16" t="s">
        <v>196</v>
      </c>
      <c r="C92" s="17">
        <v>2547.87</v>
      </c>
      <c r="D92" s="17">
        <v>0</v>
      </c>
      <c r="E92" s="17">
        <f t="shared" si="2"/>
        <v>-2547.87</v>
      </c>
      <c r="F92" s="18">
        <f t="shared" si="3"/>
        <v>-1</v>
      </c>
      <c r="G92" s="22" t="s">
        <v>105</v>
      </c>
    </row>
    <row r="93" spans="2:7" x14ac:dyDescent="0.2">
      <c r="B93" s="16" t="s">
        <v>197</v>
      </c>
      <c r="C93" s="17">
        <v>10910.68</v>
      </c>
      <c r="D93" s="17">
        <v>13343.78</v>
      </c>
      <c r="E93" s="17">
        <f t="shared" si="2"/>
        <v>2433.1000000000004</v>
      </c>
      <c r="F93" s="18">
        <f t="shared" si="3"/>
        <v>0.22300168275487872</v>
      </c>
      <c r="G93" s="21" t="s">
        <v>103</v>
      </c>
    </row>
    <row r="94" spans="2:7" x14ac:dyDescent="0.2">
      <c r="B94" s="16" t="s">
        <v>198</v>
      </c>
      <c r="C94" s="17">
        <v>0</v>
      </c>
      <c r="D94" s="17">
        <v>2381.66</v>
      </c>
      <c r="E94" s="17">
        <f t="shared" si="2"/>
        <v>2381.66</v>
      </c>
      <c r="F94" s="18">
        <f t="shared" si="3"/>
        <v>0</v>
      </c>
      <c r="G94" s="21" t="s">
        <v>110</v>
      </c>
    </row>
    <row r="95" spans="2:7" x14ac:dyDescent="0.2">
      <c r="B95" s="16" t="s">
        <v>199</v>
      </c>
      <c r="C95" s="17">
        <v>2333.33</v>
      </c>
      <c r="D95" s="17">
        <v>0</v>
      </c>
      <c r="E95" s="17">
        <f t="shared" si="2"/>
        <v>-2333.33</v>
      </c>
      <c r="F95" s="18">
        <f t="shared" si="3"/>
        <v>-1</v>
      </c>
      <c r="G95" s="22" t="s">
        <v>105</v>
      </c>
    </row>
    <row r="96" spans="2:7" x14ac:dyDescent="0.2">
      <c r="B96" s="16" t="s">
        <v>200</v>
      </c>
      <c r="C96" s="17">
        <v>4235.5200000000004</v>
      </c>
      <c r="D96" s="17">
        <v>1948.03</v>
      </c>
      <c r="E96" s="17">
        <f t="shared" si="2"/>
        <v>-2287.4900000000007</v>
      </c>
      <c r="F96" s="18">
        <f t="shared" si="3"/>
        <v>-0.54007300166213368</v>
      </c>
      <c r="G96" s="22" t="s">
        <v>107</v>
      </c>
    </row>
    <row r="97" spans="2:7" x14ac:dyDescent="0.2">
      <c r="B97" s="16" t="s">
        <v>201</v>
      </c>
      <c r="C97" s="17">
        <v>3002.83</v>
      </c>
      <c r="D97" s="17">
        <v>796.04</v>
      </c>
      <c r="E97" s="17">
        <f t="shared" si="2"/>
        <v>-2206.79</v>
      </c>
      <c r="F97" s="18">
        <f t="shared" si="3"/>
        <v>-0.73490340778532248</v>
      </c>
      <c r="G97" s="22" t="s">
        <v>107</v>
      </c>
    </row>
    <row r="98" spans="2:7" x14ac:dyDescent="0.2">
      <c r="B98" s="16" t="s">
        <v>202</v>
      </c>
      <c r="C98" s="17">
        <v>9848.9599999999991</v>
      </c>
      <c r="D98" s="17">
        <v>7742.39</v>
      </c>
      <c r="E98" s="17">
        <f t="shared" si="2"/>
        <v>-2106.5699999999988</v>
      </c>
      <c r="F98" s="18">
        <f t="shared" si="3"/>
        <v>-0.21388755767106366</v>
      </c>
      <c r="G98" s="22" t="s">
        <v>107</v>
      </c>
    </row>
    <row r="99" spans="2:7" x14ac:dyDescent="0.2">
      <c r="B99" s="16" t="s">
        <v>203</v>
      </c>
      <c r="C99" s="17">
        <v>2067.36</v>
      </c>
      <c r="D99" s="17">
        <v>0</v>
      </c>
      <c r="E99" s="17">
        <f t="shared" si="2"/>
        <v>-2067.36</v>
      </c>
      <c r="F99" s="18">
        <f t="shared" si="3"/>
        <v>-1</v>
      </c>
      <c r="G99" s="22" t="s">
        <v>105</v>
      </c>
    </row>
    <row r="100" spans="2:7" x14ac:dyDescent="0.2">
      <c r="B100" s="16" t="s">
        <v>204</v>
      </c>
      <c r="C100" s="17">
        <v>0</v>
      </c>
      <c r="D100" s="17">
        <v>2057.08</v>
      </c>
      <c r="E100" s="17">
        <f t="shared" si="2"/>
        <v>2057.08</v>
      </c>
      <c r="F100" s="18">
        <f t="shared" si="3"/>
        <v>0</v>
      </c>
      <c r="G100" s="21" t="s">
        <v>110</v>
      </c>
    </row>
    <row r="101" spans="2:7" x14ac:dyDescent="0.2">
      <c r="B101" s="16" t="s">
        <v>205</v>
      </c>
      <c r="C101" s="17">
        <v>2032.47</v>
      </c>
      <c r="D101" s="17">
        <v>0</v>
      </c>
      <c r="E101" s="17">
        <f t="shared" si="2"/>
        <v>-2032.47</v>
      </c>
      <c r="F101" s="18">
        <f t="shared" si="3"/>
        <v>-1</v>
      </c>
      <c r="G101" s="22" t="s">
        <v>105</v>
      </c>
    </row>
    <row r="102" spans="2:7" x14ac:dyDescent="0.2">
      <c r="B102" s="16" t="s">
        <v>206</v>
      </c>
      <c r="C102" s="17">
        <v>2023.53</v>
      </c>
      <c r="D102" s="17">
        <v>0</v>
      </c>
      <c r="E102" s="17">
        <f t="shared" si="2"/>
        <v>-2023.53</v>
      </c>
      <c r="F102" s="18">
        <f t="shared" si="3"/>
        <v>-1</v>
      </c>
      <c r="G102" s="22" t="s">
        <v>105</v>
      </c>
    </row>
    <row r="103" spans="2:7" x14ac:dyDescent="0.2">
      <c r="B103" s="16" t="s">
        <v>207</v>
      </c>
      <c r="C103" s="17">
        <v>0</v>
      </c>
      <c r="D103" s="17">
        <v>1957.34</v>
      </c>
      <c r="E103" s="17">
        <f t="shared" si="2"/>
        <v>1957.34</v>
      </c>
      <c r="F103" s="18">
        <f t="shared" si="3"/>
        <v>0</v>
      </c>
      <c r="G103" s="21" t="s">
        <v>110</v>
      </c>
    </row>
    <row r="104" spans="2:7" x14ac:dyDescent="0.2">
      <c r="B104" s="16" t="s">
        <v>208</v>
      </c>
      <c r="C104" s="17">
        <v>0</v>
      </c>
      <c r="D104" s="17">
        <v>1956.77</v>
      </c>
      <c r="E104" s="17">
        <f t="shared" si="2"/>
        <v>1956.77</v>
      </c>
      <c r="F104" s="18">
        <f t="shared" si="3"/>
        <v>0</v>
      </c>
      <c r="G104" s="21" t="s">
        <v>110</v>
      </c>
    </row>
    <row r="105" spans="2:7" x14ac:dyDescent="0.2">
      <c r="B105" s="16" t="s">
        <v>209</v>
      </c>
      <c r="C105" s="17">
        <v>7300.71</v>
      </c>
      <c r="D105" s="17">
        <v>5362.52</v>
      </c>
      <c r="E105" s="17">
        <f t="shared" si="2"/>
        <v>-1938.1899999999996</v>
      </c>
      <c r="F105" s="18">
        <f t="shared" si="3"/>
        <v>-0.26547965882770302</v>
      </c>
      <c r="G105" s="22" t="s">
        <v>107</v>
      </c>
    </row>
    <row r="106" spans="2:7" x14ac:dyDescent="0.2">
      <c r="B106" s="16" t="s">
        <v>210</v>
      </c>
      <c r="C106" s="17">
        <v>0</v>
      </c>
      <c r="D106" s="17">
        <v>1889.73</v>
      </c>
      <c r="E106" s="17">
        <f t="shared" si="2"/>
        <v>1889.73</v>
      </c>
      <c r="F106" s="18">
        <f t="shared" si="3"/>
        <v>0</v>
      </c>
      <c r="G106" s="21" t="s">
        <v>110</v>
      </c>
    </row>
    <row r="107" spans="2:7" x14ac:dyDescent="0.2">
      <c r="B107" s="16" t="s">
        <v>211</v>
      </c>
      <c r="C107" s="17">
        <v>1813.24</v>
      </c>
      <c r="D107" s="17">
        <v>0</v>
      </c>
      <c r="E107" s="17">
        <f t="shared" si="2"/>
        <v>-1813.24</v>
      </c>
      <c r="F107" s="18">
        <f t="shared" si="3"/>
        <v>-1</v>
      </c>
      <c r="G107" s="22" t="s">
        <v>105</v>
      </c>
    </row>
    <row r="108" spans="2:7" x14ac:dyDescent="0.2">
      <c r="B108" s="16" t="s">
        <v>212</v>
      </c>
      <c r="C108" s="17">
        <v>1743.19</v>
      </c>
      <c r="D108" s="17">
        <v>0</v>
      </c>
      <c r="E108" s="17">
        <f t="shared" si="2"/>
        <v>-1743.19</v>
      </c>
      <c r="F108" s="18">
        <f t="shared" si="3"/>
        <v>-1</v>
      </c>
      <c r="G108" s="22" t="s">
        <v>105</v>
      </c>
    </row>
    <row r="109" spans="2:7" x14ac:dyDescent="0.2">
      <c r="B109" s="16" t="s">
        <v>213</v>
      </c>
      <c r="C109" s="17">
        <v>12748.28</v>
      </c>
      <c r="D109" s="17">
        <v>14400.9</v>
      </c>
      <c r="E109" s="17">
        <f t="shared" si="2"/>
        <v>1652.619999999999</v>
      </c>
      <c r="F109" s="18">
        <f t="shared" si="3"/>
        <v>0.12963474288296137</v>
      </c>
      <c r="G109" s="21" t="s">
        <v>103</v>
      </c>
    </row>
    <row r="110" spans="2:7" x14ac:dyDescent="0.2">
      <c r="B110" s="16" t="s">
        <v>214</v>
      </c>
      <c r="C110" s="17">
        <v>938.53</v>
      </c>
      <c r="D110" s="17">
        <v>2559.98</v>
      </c>
      <c r="E110" s="17">
        <f t="shared" si="2"/>
        <v>1621.45</v>
      </c>
      <c r="F110" s="18">
        <f t="shared" si="3"/>
        <v>1.7276485567856117</v>
      </c>
      <c r="G110" s="21" t="s">
        <v>103</v>
      </c>
    </row>
    <row r="111" spans="2:7" x14ac:dyDescent="0.2">
      <c r="B111" s="16" t="s">
        <v>215</v>
      </c>
      <c r="C111" s="17">
        <v>0</v>
      </c>
      <c r="D111" s="17">
        <v>1576.78</v>
      </c>
      <c r="E111" s="17">
        <f t="shared" si="2"/>
        <v>1576.78</v>
      </c>
      <c r="F111" s="18">
        <f t="shared" si="3"/>
        <v>0</v>
      </c>
      <c r="G111" s="21" t="s">
        <v>110</v>
      </c>
    </row>
    <row r="112" spans="2:7" x14ac:dyDescent="0.2">
      <c r="B112" s="16" t="s">
        <v>216</v>
      </c>
      <c r="C112" s="17">
        <v>0</v>
      </c>
      <c r="D112" s="17">
        <v>1572.03</v>
      </c>
      <c r="E112" s="17">
        <f t="shared" si="2"/>
        <v>1572.03</v>
      </c>
      <c r="F112" s="18">
        <f t="shared" si="3"/>
        <v>0</v>
      </c>
      <c r="G112" s="21" t="s">
        <v>110</v>
      </c>
    </row>
    <row r="113" spans="2:7" x14ac:dyDescent="0.2">
      <c r="B113" s="16" t="s">
        <v>217</v>
      </c>
      <c r="C113" s="17">
        <v>12811.91</v>
      </c>
      <c r="D113" s="17">
        <v>14378.53</v>
      </c>
      <c r="E113" s="17">
        <f t="shared" si="2"/>
        <v>1566.6200000000008</v>
      </c>
      <c r="F113" s="18">
        <f t="shared" si="3"/>
        <v>0.12227841125952343</v>
      </c>
      <c r="G113" s="21" t="s">
        <v>103</v>
      </c>
    </row>
    <row r="114" spans="2:7" x14ac:dyDescent="0.2">
      <c r="B114" s="16" t="s">
        <v>218</v>
      </c>
      <c r="C114" s="17">
        <v>5530</v>
      </c>
      <c r="D114" s="17">
        <v>7088.88</v>
      </c>
      <c r="E114" s="17">
        <f t="shared" si="2"/>
        <v>1558.88</v>
      </c>
      <c r="F114" s="18">
        <f t="shared" si="3"/>
        <v>0.28189511754068719</v>
      </c>
      <c r="G114" s="21" t="s">
        <v>103</v>
      </c>
    </row>
    <row r="115" spans="2:7" x14ac:dyDescent="0.2">
      <c r="B115" s="16" t="s">
        <v>219</v>
      </c>
      <c r="C115" s="17">
        <v>1510.28</v>
      </c>
      <c r="D115" s="17">
        <v>0</v>
      </c>
      <c r="E115" s="17">
        <f t="shared" si="2"/>
        <v>-1510.28</v>
      </c>
      <c r="F115" s="18">
        <f t="shared" si="3"/>
        <v>-1</v>
      </c>
      <c r="G115" s="22" t="s">
        <v>105</v>
      </c>
    </row>
    <row r="116" spans="2:7" x14ac:dyDescent="0.2">
      <c r="B116" s="16" t="s">
        <v>220</v>
      </c>
      <c r="C116" s="17">
        <v>1507.7</v>
      </c>
      <c r="D116" s="17">
        <v>0</v>
      </c>
      <c r="E116" s="17">
        <f t="shared" si="2"/>
        <v>-1507.7</v>
      </c>
      <c r="F116" s="18">
        <f t="shared" si="3"/>
        <v>-1</v>
      </c>
      <c r="G116" s="22" t="s">
        <v>105</v>
      </c>
    </row>
    <row r="117" spans="2:7" x14ac:dyDescent="0.2">
      <c r="B117" s="16" t="s">
        <v>221</v>
      </c>
      <c r="C117" s="17">
        <v>1492.84</v>
      </c>
      <c r="D117" s="17">
        <v>0</v>
      </c>
      <c r="E117" s="17">
        <f t="shared" si="2"/>
        <v>-1492.84</v>
      </c>
      <c r="F117" s="18">
        <f t="shared" si="3"/>
        <v>-1</v>
      </c>
      <c r="G117" s="22" t="s">
        <v>105</v>
      </c>
    </row>
    <row r="118" spans="2:7" x14ac:dyDescent="0.2">
      <c r="B118" s="16" t="s">
        <v>222</v>
      </c>
      <c r="C118" s="17">
        <v>1104.94</v>
      </c>
      <c r="D118" s="17">
        <v>2576.5300000000002</v>
      </c>
      <c r="E118" s="17">
        <f t="shared" si="2"/>
        <v>1471.5900000000001</v>
      </c>
      <c r="F118" s="18">
        <f t="shared" si="3"/>
        <v>1.3318279725595961</v>
      </c>
      <c r="G118" s="21" t="s">
        <v>103</v>
      </c>
    </row>
    <row r="119" spans="2:7" x14ac:dyDescent="0.2">
      <c r="B119" s="16" t="s">
        <v>223</v>
      </c>
      <c r="C119" s="17">
        <v>1435.44</v>
      </c>
      <c r="D119" s="17">
        <v>0</v>
      </c>
      <c r="E119" s="17">
        <f t="shared" si="2"/>
        <v>-1435.44</v>
      </c>
      <c r="F119" s="18">
        <f t="shared" si="3"/>
        <v>-1</v>
      </c>
      <c r="G119" s="22" t="s">
        <v>105</v>
      </c>
    </row>
    <row r="120" spans="2:7" x14ac:dyDescent="0.2">
      <c r="B120" s="16" t="s">
        <v>224</v>
      </c>
      <c r="C120" s="17">
        <v>2928.38</v>
      </c>
      <c r="D120" s="17">
        <v>1496.09</v>
      </c>
      <c r="E120" s="17">
        <f t="shared" si="2"/>
        <v>-1432.2900000000002</v>
      </c>
      <c r="F120" s="18">
        <f t="shared" si="3"/>
        <v>-0.48910660501710851</v>
      </c>
      <c r="G120" s="22" t="s">
        <v>107</v>
      </c>
    </row>
    <row r="121" spans="2:7" x14ac:dyDescent="0.2">
      <c r="B121" s="16" t="s">
        <v>225</v>
      </c>
      <c r="C121" s="17">
        <v>0</v>
      </c>
      <c r="D121" s="17">
        <v>1402.14</v>
      </c>
      <c r="E121" s="17">
        <f t="shared" si="2"/>
        <v>1402.14</v>
      </c>
      <c r="F121" s="18">
        <f t="shared" si="3"/>
        <v>0</v>
      </c>
      <c r="G121" s="21" t="s">
        <v>110</v>
      </c>
    </row>
    <row r="122" spans="2:7" x14ac:dyDescent="0.2">
      <c r="B122" s="16" t="s">
        <v>226</v>
      </c>
      <c r="C122" s="17">
        <v>1391.16</v>
      </c>
      <c r="D122" s="17">
        <v>0</v>
      </c>
      <c r="E122" s="17">
        <f t="shared" si="2"/>
        <v>-1391.16</v>
      </c>
      <c r="F122" s="18">
        <f t="shared" si="3"/>
        <v>-1</v>
      </c>
      <c r="G122" s="22" t="s">
        <v>105</v>
      </c>
    </row>
    <row r="123" spans="2:7" x14ac:dyDescent="0.2">
      <c r="B123" s="16" t="s">
        <v>227</v>
      </c>
      <c r="C123" s="17">
        <v>1385.25</v>
      </c>
      <c r="D123" s="17">
        <v>0</v>
      </c>
      <c r="E123" s="17">
        <f t="shared" si="2"/>
        <v>-1385.25</v>
      </c>
      <c r="F123" s="18">
        <f t="shared" si="3"/>
        <v>-1</v>
      </c>
      <c r="G123" s="22" t="s">
        <v>105</v>
      </c>
    </row>
    <row r="124" spans="2:7" x14ac:dyDescent="0.2">
      <c r="B124" s="16" t="s">
        <v>228</v>
      </c>
      <c r="C124" s="17">
        <v>1379.87</v>
      </c>
      <c r="D124" s="17">
        <v>0</v>
      </c>
      <c r="E124" s="17">
        <f t="shared" si="2"/>
        <v>-1379.87</v>
      </c>
      <c r="F124" s="18">
        <f t="shared" si="3"/>
        <v>-1</v>
      </c>
      <c r="G124" s="22" t="s">
        <v>105</v>
      </c>
    </row>
    <row r="125" spans="2:7" x14ac:dyDescent="0.2">
      <c r="B125" s="16" t="s">
        <v>229</v>
      </c>
      <c r="C125" s="17">
        <v>1357.91</v>
      </c>
      <c r="D125" s="17">
        <v>0</v>
      </c>
      <c r="E125" s="17">
        <f t="shared" si="2"/>
        <v>-1357.91</v>
      </c>
      <c r="F125" s="18">
        <f t="shared" si="3"/>
        <v>-1</v>
      </c>
      <c r="G125" s="22" t="s">
        <v>105</v>
      </c>
    </row>
    <row r="126" spans="2:7" x14ac:dyDescent="0.2">
      <c r="B126" s="16" t="s">
        <v>230</v>
      </c>
      <c r="C126" s="17">
        <v>0</v>
      </c>
      <c r="D126" s="17">
        <v>1335.9</v>
      </c>
      <c r="E126" s="17">
        <f t="shared" si="2"/>
        <v>1335.9</v>
      </c>
      <c r="F126" s="18">
        <f t="shared" si="3"/>
        <v>0</v>
      </c>
      <c r="G126" s="21" t="s">
        <v>110</v>
      </c>
    </row>
    <row r="127" spans="2:7" x14ac:dyDescent="0.2">
      <c r="B127" s="16" t="s">
        <v>231</v>
      </c>
      <c r="C127" s="17">
        <v>0</v>
      </c>
      <c r="D127" s="17">
        <v>1322.09</v>
      </c>
      <c r="E127" s="17">
        <f t="shared" si="2"/>
        <v>1322.09</v>
      </c>
      <c r="F127" s="18">
        <f t="shared" si="3"/>
        <v>0</v>
      </c>
      <c r="G127" s="21" t="s">
        <v>110</v>
      </c>
    </row>
    <row r="128" spans="2:7" x14ac:dyDescent="0.2">
      <c r="B128" s="16" t="s">
        <v>232</v>
      </c>
      <c r="C128" s="17">
        <v>1298.68</v>
      </c>
      <c r="D128" s="17">
        <v>0</v>
      </c>
      <c r="E128" s="17">
        <f t="shared" si="2"/>
        <v>-1298.68</v>
      </c>
      <c r="F128" s="18">
        <f t="shared" si="3"/>
        <v>-1</v>
      </c>
      <c r="G128" s="22" t="s">
        <v>105</v>
      </c>
    </row>
    <row r="129" spans="2:7" x14ac:dyDescent="0.2">
      <c r="B129" s="16" t="s">
        <v>233</v>
      </c>
      <c r="C129" s="17">
        <v>4641.92</v>
      </c>
      <c r="D129" s="17">
        <v>3353.48</v>
      </c>
      <c r="E129" s="17">
        <f t="shared" si="2"/>
        <v>-1288.44</v>
      </c>
      <c r="F129" s="18">
        <f t="shared" si="3"/>
        <v>-0.27756617951192608</v>
      </c>
      <c r="G129" s="22" t="s">
        <v>107</v>
      </c>
    </row>
    <row r="130" spans="2:7" x14ac:dyDescent="0.2">
      <c r="B130" s="16" t="s">
        <v>234</v>
      </c>
      <c r="C130" s="17">
        <v>1194.51</v>
      </c>
      <c r="D130" s="17">
        <v>2477.88</v>
      </c>
      <c r="E130" s="17">
        <f t="shared" ref="E130:E193" si="4">D130-C130</f>
        <v>1283.3700000000001</v>
      </c>
      <c r="F130" s="18">
        <f t="shared" ref="F130:F193" si="5">IFERROR(E130/ABS(C130),0)</f>
        <v>1.0743903357862221</v>
      </c>
      <c r="G130" s="21" t="s">
        <v>103</v>
      </c>
    </row>
    <row r="131" spans="2:7" x14ac:dyDescent="0.2">
      <c r="B131" s="16" t="s">
        <v>235</v>
      </c>
      <c r="C131" s="17">
        <v>1575.91</v>
      </c>
      <c r="D131" s="17">
        <v>2855.37</v>
      </c>
      <c r="E131" s="17">
        <f t="shared" si="4"/>
        <v>1279.4599999999998</v>
      </c>
      <c r="F131" s="18">
        <f t="shared" si="5"/>
        <v>0.81188646559765454</v>
      </c>
      <c r="G131" s="21" t="s">
        <v>103</v>
      </c>
    </row>
    <row r="132" spans="2:7" x14ac:dyDescent="0.2">
      <c r="B132" s="16" t="s">
        <v>236</v>
      </c>
      <c r="C132" s="17">
        <v>1249.18</v>
      </c>
      <c r="D132" s="17">
        <v>0</v>
      </c>
      <c r="E132" s="17">
        <f t="shared" si="4"/>
        <v>-1249.18</v>
      </c>
      <c r="F132" s="18">
        <f t="shared" si="5"/>
        <v>-1</v>
      </c>
      <c r="G132" s="22" t="s">
        <v>105</v>
      </c>
    </row>
    <row r="133" spans="2:7" x14ac:dyDescent="0.2">
      <c r="B133" s="16" t="s">
        <v>237</v>
      </c>
      <c r="C133" s="17">
        <v>5626.78</v>
      </c>
      <c r="D133" s="17">
        <v>6874.34</v>
      </c>
      <c r="E133" s="17">
        <f t="shared" si="4"/>
        <v>1247.5600000000004</v>
      </c>
      <c r="F133" s="18">
        <f t="shared" si="5"/>
        <v>0.22171828292558096</v>
      </c>
      <c r="G133" s="21" t="s">
        <v>103</v>
      </c>
    </row>
    <row r="134" spans="2:7" x14ac:dyDescent="0.2">
      <c r="B134" s="16" t="s">
        <v>238</v>
      </c>
      <c r="C134" s="17">
        <v>1241.9000000000001</v>
      </c>
      <c r="D134" s="17">
        <v>0</v>
      </c>
      <c r="E134" s="17">
        <f t="shared" si="4"/>
        <v>-1241.9000000000001</v>
      </c>
      <c r="F134" s="18">
        <f t="shared" si="5"/>
        <v>-1</v>
      </c>
      <c r="G134" s="22" t="s">
        <v>105</v>
      </c>
    </row>
    <row r="135" spans="2:7" x14ac:dyDescent="0.2">
      <c r="B135" s="16" t="s">
        <v>239</v>
      </c>
      <c r="C135" s="17">
        <v>1213.19</v>
      </c>
      <c r="D135" s="17">
        <v>0</v>
      </c>
      <c r="E135" s="17">
        <f t="shared" si="4"/>
        <v>-1213.19</v>
      </c>
      <c r="F135" s="18">
        <f t="shared" si="5"/>
        <v>-1</v>
      </c>
      <c r="G135" s="22" t="s">
        <v>105</v>
      </c>
    </row>
    <row r="136" spans="2:7" x14ac:dyDescent="0.2">
      <c r="B136" s="16" t="s">
        <v>240</v>
      </c>
      <c r="C136" s="17">
        <v>1289.1199999999999</v>
      </c>
      <c r="D136" s="17">
        <v>77.56</v>
      </c>
      <c r="E136" s="17">
        <f t="shared" si="4"/>
        <v>-1211.56</v>
      </c>
      <c r="F136" s="18">
        <f t="shared" si="5"/>
        <v>-0.93983492615117292</v>
      </c>
      <c r="G136" s="22" t="s">
        <v>107</v>
      </c>
    </row>
    <row r="137" spans="2:7" x14ac:dyDescent="0.2">
      <c r="B137" s="16" t="s">
        <v>241</v>
      </c>
      <c r="C137" s="17">
        <v>8781.09</v>
      </c>
      <c r="D137" s="17">
        <v>7585.83</v>
      </c>
      <c r="E137" s="17">
        <f t="shared" si="4"/>
        <v>-1195.2600000000002</v>
      </c>
      <c r="F137" s="18">
        <f t="shared" si="5"/>
        <v>-0.13611749794159952</v>
      </c>
      <c r="G137" s="22" t="s">
        <v>107</v>
      </c>
    </row>
    <row r="138" spans="2:7" x14ac:dyDescent="0.2">
      <c r="B138" s="16" t="s">
        <v>242</v>
      </c>
      <c r="C138" s="17">
        <v>0</v>
      </c>
      <c r="D138" s="17">
        <v>1156.0999999999999</v>
      </c>
      <c r="E138" s="17">
        <f t="shared" si="4"/>
        <v>1156.0999999999999</v>
      </c>
      <c r="F138" s="18">
        <f t="shared" si="5"/>
        <v>0</v>
      </c>
      <c r="G138" s="21" t="s">
        <v>110</v>
      </c>
    </row>
    <row r="139" spans="2:7" x14ac:dyDescent="0.2">
      <c r="B139" s="16" t="s">
        <v>243</v>
      </c>
      <c r="C139" s="17">
        <v>1146.96</v>
      </c>
      <c r="D139" s="17">
        <v>0</v>
      </c>
      <c r="E139" s="17">
        <f t="shared" si="4"/>
        <v>-1146.96</v>
      </c>
      <c r="F139" s="18">
        <f t="shared" si="5"/>
        <v>-1</v>
      </c>
      <c r="G139" s="22" t="s">
        <v>105</v>
      </c>
    </row>
    <row r="140" spans="2:7" x14ac:dyDescent="0.2">
      <c r="B140" s="16" t="s">
        <v>244</v>
      </c>
      <c r="C140" s="17">
        <v>0</v>
      </c>
      <c r="D140" s="17">
        <v>1100.6600000000001</v>
      </c>
      <c r="E140" s="17">
        <f t="shared" si="4"/>
        <v>1100.6600000000001</v>
      </c>
      <c r="F140" s="18">
        <f t="shared" si="5"/>
        <v>0</v>
      </c>
      <c r="G140" s="21" t="s">
        <v>110</v>
      </c>
    </row>
    <row r="141" spans="2:7" x14ac:dyDescent="0.2">
      <c r="B141" s="16" t="s">
        <v>245</v>
      </c>
      <c r="C141" s="17">
        <v>4954.21</v>
      </c>
      <c r="D141" s="17">
        <v>3883.87</v>
      </c>
      <c r="E141" s="17">
        <f t="shared" si="4"/>
        <v>-1070.3400000000001</v>
      </c>
      <c r="F141" s="18">
        <f t="shared" si="5"/>
        <v>-0.2160465543446887</v>
      </c>
      <c r="G141" s="22" t="s">
        <v>107</v>
      </c>
    </row>
    <row r="142" spans="2:7" x14ac:dyDescent="0.2">
      <c r="B142" s="16" t="s">
        <v>246</v>
      </c>
      <c r="C142" s="17">
        <v>0</v>
      </c>
      <c r="D142" s="17">
        <v>1040.3900000000001</v>
      </c>
      <c r="E142" s="17">
        <f t="shared" si="4"/>
        <v>1040.3900000000001</v>
      </c>
      <c r="F142" s="18">
        <f t="shared" si="5"/>
        <v>0</v>
      </c>
      <c r="G142" s="21" t="s">
        <v>110</v>
      </c>
    </row>
    <row r="143" spans="2:7" x14ac:dyDescent="0.2">
      <c r="B143" s="16" t="s">
        <v>247</v>
      </c>
      <c r="C143" s="17">
        <v>0</v>
      </c>
      <c r="D143" s="17">
        <v>1013.79</v>
      </c>
      <c r="E143" s="17">
        <f t="shared" si="4"/>
        <v>1013.79</v>
      </c>
      <c r="F143" s="18">
        <f t="shared" si="5"/>
        <v>0</v>
      </c>
      <c r="G143" s="21" t="s">
        <v>110</v>
      </c>
    </row>
    <row r="144" spans="2:7" x14ac:dyDescent="0.2">
      <c r="B144" s="16" t="s">
        <v>248</v>
      </c>
      <c r="C144" s="17">
        <v>1007.29</v>
      </c>
      <c r="D144" s="17">
        <v>0</v>
      </c>
      <c r="E144" s="17">
        <f t="shared" si="4"/>
        <v>-1007.29</v>
      </c>
      <c r="F144" s="18">
        <f t="shared" si="5"/>
        <v>-1</v>
      </c>
      <c r="G144" s="22" t="s">
        <v>105</v>
      </c>
    </row>
    <row r="145" spans="2:7" x14ac:dyDescent="0.2">
      <c r="B145" s="16" t="s">
        <v>249</v>
      </c>
      <c r="C145" s="17">
        <v>963.12</v>
      </c>
      <c r="D145" s="17">
        <v>0</v>
      </c>
      <c r="E145" s="17">
        <f t="shared" si="4"/>
        <v>-963.12</v>
      </c>
      <c r="F145" s="18">
        <f t="shared" si="5"/>
        <v>-1</v>
      </c>
      <c r="G145" s="22" t="s">
        <v>105</v>
      </c>
    </row>
    <row r="146" spans="2:7" x14ac:dyDescent="0.2">
      <c r="B146" s="16" t="s">
        <v>250</v>
      </c>
      <c r="C146" s="17">
        <v>0</v>
      </c>
      <c r="D146" s="17">
        <v>952.67</v>
      </c>
      <c r="E146" s="17">
        <f t="shared" si="4"/>
        <v>952.67</v>
      </c>
      <c r="F146" s="18">
        <f t="shared" si="5"/>
        <v>0</v>
      </c>
      <c r="G146" s="21" t="s">
        <v>110</v>
      </c>
    </row>
    <row r="147" spans="2:7" x14ac:dyDescent="0.2">
      <c r="B147" s="16" t="s">
        <v>251</v>
      </c>
      <c r="C147" s="17">
        <v>0</v>
      </c>
      <c r="D147" s="17">
        <v>949.58</v>
      </c>
      <c r="E147" s="17">
        <f t="shared" si="4"/>
        <v>949.58</v>
      </c>
      <c r="F147" s="18">
        <f t="shared" si="5"/>
        <v>0</v>
      </c>
      <c r="G147" s="21" t="s">
        <v>110</v>
      </c>
    </row>
    <row r="148" spans="2:7" x14ac:dyDescent="0.2">
      <c r="B148" s="16" t="s">
        <v>252</v>
      </c>
      <c r="C148" s="17">
        <v>6209.09</v>
      </c>
      <c r="D148" s="17">
        <v>5263.85</v>
      </c>
      <c r="E148" s="17">
        <f t="shared" si="4"/>
        <v>-945.23999999999978</v>
      </c>
      <c r="F148" s="18">
        <f t="shared" si="5"/>
        <v>-0.1522348685556176</v>
      </c>
      <c r="G148" s="22" t="s">
        <v>107</v>
      </c>
    </row>
    <row r="149" spans="2:7" x14ac:dyDescent="0.2">
      <c r="B149" s="16" t="s">
        <v>253</v>
      </c>
      <c r="C149" s="17">
        <v>939.76</v>
      </c>
      <c r="D149" s="17">
        <v>0</v>
      </c>
      <c r="E149" s="17">
        <f t="shared" si="4"/>
        <v>-939.76</v>
      </c>
      <c r="F149" s="18">
        <f t="shared" si="5"/>
        <v>-1</v>
      </c>
      <c r="G149" s="22" t="s">
        <v>105</v>
      </c>
    </row>
    <row r="150" spans="2:7" x14ac:dyDescent="0.2">
      <c r="B150" s="16" t="s">
        <v>254</v>
      </c>
      <c r="C150" s="17">
        <v>2406.19</v>
      </c>
      <c r="D150" s="17">
        <v>1470.67</v>
      </c>
      <c r="E150" s="17">
        <f t="shared" si="4"/>
        <v>-935.52</v>
      </c>
      <c r="F150" s="18">
        <f t="shared" si="5"/>
        <v>-0.38879722715163806</v>
      </c>
      <c r="G150" s="22" t="s">
        <v>107</v>
      </c>
    </row>
    <row r="151" spans="2:7" x14ac:dyDescent="0.2">
      <c r="B151" s="16" t="s">
        <v>255</v>
      </c>
      <c r="C151" s="17">
        <v>928.87</v>
      </c>
      <c r="D151" s="17">
        <v>0</v>
      </c>
      <c r="E151" s="17">
        <f t="shared" si="4"/>
        <v>-928.87</v>
      </c>
      <c r="F151" s="18">
        <f t="shared" si="5"/>
        <v>-1</v>
      </c>
      <c r="G151" s="22" t="s">
        <v>105</v>
      </c>
    </row>
    <row r="152" spans="2:7" x14ac:dyDescent="0.2">
      <c r="B152" s="16" t="s">
        <v>256</v>
      </c>
      <c r="C152" s="17">
        <v>921.98</v>
      </c>
      <c r="D152" s="17">
        <v>0</v>
      </c>
      <c r="E152" s="17">
        <f t="shared" si="4"/>
        <v>-921.98</v>
      </c>
      <c r="F152" s="18">
        <f t="shared" si="5"/>
        <v>-1</v>
      </c>
      <c r="G152" s="22" t="s">
        <v>105</v>
      </c>
    </row>
    <row r="153" spans="2:7" x14ac:dyDescent="0.2">
      <c r="B153" s="16" t="s">
        <v>257</v>
      </c>
      <c r="C153" s="17">
        <v>1002.49</v>
      </c>
      <c r="D153" s="17">
        <v>83.61</v>
      </c>
      <c r="E153" s="17">
        <f t="shared" si="4"/>
        <v>-918.88</v>
      </c>
      <c r="F153" s="18">
        <f t="shared" si="5"/>
        <v>-0.91659767179722484</v>
      </c>
      <c r="G153" s="22" t="s">
        <v>107</v>
      </c>
    </row>
    <row r="154" spans="2:7" x14ac:dyDescent="0.2">
      <c r="B154" s="16" t="s">
        <v>258</v>
      </c>
      <c r="C154" s="17">
        <v>918.18</v>
      </c>
      <c r="D154" s="17">
        <v>0</v>
      </c>
      <c r="E154" s="17">
        <f t="shared" si="4"/>
        <v>-918.18</v>
      </c>
      <c r="F154" s="18">
        <f t="shared" si="5"/>
        <v>-1</v>
      </c>
      <c r="G154" s="22" t="s">
        <v>105</v>
      </c>
    </row>
    <row r="155" spans="2:7" x14ac:dyDescent="0.2">
      <c r="B155" s="16" t="s">
        <v>259</v>
      </c>
      <c r="C155" s="17">
        <v>916.29</v>
      </c>
      <c r="D155" s="17">
        <v>0</v>
      </c>
      <c r="E155" s="17">
        <f t="shared" si="4"/>
        <v>-916.29</v>
      </c>
      <c r="F155" s="18">
        <f t="shared" si="5"/>
        <v>-1</v>
      </c>
      <c r="G155" s="22" t="s">
        <v>105</v>
      </c>
    </row>
    <row r="156" spans="2:7" x14ac:dyDescent="0.2">
      <c r="B156" s="16" t="s">
        <v>260</v>
      </c>
      <c r="C156" s="17">
        <v>893.19</v>
      </c>
      <c r="D156" s="17">
        <v>0</v>
      </c>
      <c r="E156" s="17">
        <f t="shared" si="4"/>
        <v>-893.19</v>
      </c>
      <c r="F156" s="18">
        <f t="shared" si="5"/>
        <v>-1</v>
      </c>
      <c r="G156" s="22" t="s">
        <v>105</v>
      </c>
    </row>
    <row r="157" spans="2:7" x14ac:dyDescent="0.2">
      <c r="B157" s="16" t="s">
        <v>261</v>
      </c>
      <c r="C157" s="17">
        <v>851.6</v>
      </c>
      <c r="D157" s="17">
        <v>0</v>
      </c>
      <c r="E157" s="17">
        <f t="shared" si="4"/>
        <v>-851.6</v>
      </c>
      <c r="F157" s="18">
        <f t="shared" si="5"/>
        <v>-1</v>
      </c>
      <c r="G157" s="22" t="s">
        <v>105</v>
      </c>
    </row>
    <row r="158" spans="2:7" x14ac:dyDescent="0.2">
      <c r="B158" s="16" t="s">
        <v>262</v>
      </c>
      <c r="C158" s="17">
        <v>0</v>
      </c>
      <c r="D158" s="17">
        <v>839.03</v>
      </c>
      <c r="E158" s="17">
        <f t="shared" si="4"/>
        <v>839.03</v>
      </c>
      <c r="F158" s="18">
        <f t="shared" si="5"/>
        <v>0</v>
      </c>
      <c r="G158" s="21" t="s">
        <v>110</v>
      </c>
    </row>
    <row r="159" spans="2:7" x14ac:dyDescent="0.2">
      <c r="B159" s="16" t="s">
        <v>263</v>
      </c>
      <c r="C159" s="17">
        <v>820.32</v>
      </c>
      <c r="D159" s="17">
        <v>0</v>
      </c>
      <c r="E159" s="17">
        <f t="shared" si="4"/>
        <v>-820.32</v>
      </c>
      <c r="F159" s="18">
        <f t="shared" si="5"/>
        <v>-1</v>
      </c>
      <c r="G159" s="22" t="s">
        <v>105</v>
      </c>
    </row>
    <row r="160" spans="2:7" x14ac:dyDescent="0.2">
      <c r="B160" s="16" t="s">
        <v>264</v>
      </c>
      <c r="C160" s="17">
        <v>793.13</v>
      </c>
      <c r="D160" s="17">
        <v>0</v>
      </c>
      <c r="E160" s="17">
        <f t="shared" si="4"/>
        <v>-793.13</v>
      </c>
      <c r="F160" s="18">
        <f t="shared" si="5"/>
        <v>-1</v>
      </c>
      <c r="G160" s="22" t="s">
        <v>105</v>
      </c>
    </row>
    <row r="161" spans="2:7" x14ac:dyDescent="0.2">
      <c r="B161" s="16" t="s">
        <v>265</v>
      </c>
      <c r="C161" s="17">
        <v>852.23</v>
      </c>
      <c r="D161" s="17">
        <v>66.569999999999993</v>
      </c>
      <c r="E161" s="17">
        <f t="shared" si="4"/>
        <v>-785.66000000000008</v>
      </c>
      <c r="F161" s="18">
        <f t="shared" si="5"/>
        <v>-0.92188728394916875</v>
      </c>
      <c r="G161" s="22" t="s">
        <v>107</v>
      </c>
    </row>
    <row r="162" spans="2:7" x14ac:dyDescent="0.2">
      <c r="B162" s="16" t="s">
        <v>266</v>
      </c>
      <c r="C162" s="17">
        <v>1727.82</v>
      </c>
      <c r="D162" s="17">
        <v>2509.61</v>
      </c>
      <c r="E162" s="17">
        <f t="shared" si="4"/>
        <v>781.79000000000019</v>
      </c>
      <c r="F162" s="18">
        <f t="shared" si="5"/>
        <v>0.452471901008207</v>
      </c>
      <c r="G162" s="21" t="s">
        <v>103</v>
      </c>
    </row>
    <row r="163" spans="2:7" x14ac:dyDescent="0.2">
      <c r="B163" s="16" t="s">
        <v>267</v>
      </c>
      <c r="C163" s="17">
        <v>1410.56</v>
      </c>
      <c r="D163" s="17">
        <v>649.41</v>
      </c>
      <c r="E163" s="17">
        <f t="shared" si="4"/>
        <v>-761.15</v>
      </c>
      <c r="F163" s="18">
        <f t="shared" si="5"/>
        <v>-0.53960838248638843</v>
      </c>
      <c r="G163" s="22" t="s">
        <v>107</v>
      </c>
    </row>
    <row r="164" spans="2:7" x14ac:dyDescent="0.2">
      <c r="B164" s="16" t="s">
        <v>268</v>
      </c>
      <c r="C164" s="17">
        <v>0</v>
      </c>
      <c r="D164" s="17">
        <v>746.72</v>
      </c>
      <c r="E164" s="17">
        <f t="shared" si="4"/>
        <v>746.72</v>
      </c>
      <c r="F164" s="18">
        <f t="shared" si="5"/>
        <v>0</v>
      </c>
      <c r="G164" s="21" t="s">
        <v>110</v>
      </c>
    </row>
    <row r="165" spans="2:7" x14ac:dyDescent="0.2">
      <c r="B165" s="16" t="s">
        <v>269</v>
      </c>
      <c r="C165" s="17">
        <v>709.79</v>
      </c>
      <c r="D165" s="17">
        <v>0</v>
      </c>
      <c r="E165" s="17">
        <f t="shared" si="4"/>
        <v>-709.79</v>
      </c>
      <c r="F165" s="18">
        <f t="shared" si="5"/>
        <v>-1</v>
      </c>
      <c r="G165" s="22" t="s">
        <v>105</v>
      </c>
    </row>
    <row r="166" spans="2:7" x14ac:dyDescent="0.2">
      <c r="B166" s="16" t="s">
        <v>270</v>
      </c>
      <c r="C166" s="17">
        <v>0</v>
      </c>
      <c r="D166" s="17">
        <v>708.14</v>
      </c>
      <c r="E166" s="17">
        <f t="shared" si="4"/>
        <v>708.14</v>
      </c>
      <c r="F166" s="18">
        <f t="shared" si="5"/>
        <v>0</v>
      </c>
      <c r="G166" s="21" t="s">
        <v>110</v>
      </c>
    </row>
    <row r="167" spans="2:7" x14ac:dyDescent="0.2">
      <c r="B167" s="16" t="s">
        <v>271</v>
      </c>
      <c r="C167" s="17">
        <v>693.73</v>
      </c>
      <c r="D167" s="17">
        <v>0</v>
      </c>
      <c r="E167" s="17">
        <f t="shared" si="4"/>
        <v>-693.73</v>
      </c>
      <c r="F167" s="18">
        <f t="shared" si="5"/>
        <v>-1</v>
      </c>
      <c r="G167" s="22" t="s">
        <v>105</v>
      </c>
    </row>
    <row r="168" spans="2:7" x14ac:dyDescent="0.2">
      <c r="B168" s="16" t="s">
        <v>272</v>
      </c>
      <c r="C168" s="17">
        <v>671.51</v>
      </c>
      <c r="D168" s="17">
        <v>0</v>
      </c>
      <c r="E168" s="17">
        <f t="shared" si="4"/>
        <v>-671.51</v>
      </c>
      <c r="F168" s="18">
        <f t="shared" si="5"/>
        <v>-1</v>
      </c>
      <c r="G168" s="22" t="s">
        <v>105</v>
      </c>
    </row>
    <row r="169" spans="2:7" x14ac:dyDescent="0.2">
      <c r="B169" s="16" t="s">
        <v>273</v>
      </c>
      <c r="C169" s="17">
        <v>0</v>
      </c>
      <c r="D169" s="17">
        <v>638.58000000000004</v>
      </c>
      <c r="E169" s="17">
        <f t="shared" si="4"/>
        <v>638.58000000000004</v>
      </c>
      <c r="F169" s="18">
        <f t="shared" si="5"/>
        <v>0</v>
      </c>
      <c r="G169" s="21" t="s">
        <v>110</v>
      </c>
    </row>
    <row r="170" spans="2:7" x14ac:dyDescent="0.2">
      <c r="B170" s="16" t="s">
        <v>274</v>
      </c>
      <c r="C170" s="17">
        <v>926.05</v>
      </c>
      <c r="D170" s="17">
        <v>299.26</v>
      </c>
      <c r="E170" s="17">
        <f t="shared" si="4"/>
        <v>-626.79</v>
      </c>
      <c r="F170" s="18">
        <f t="shared" si="5"/>
        <v>-0.67684250310458394</v>
      </c>
      <c r="G170" s="22" t="s">
        <v>107</v>
      </c>
    </row>
    <row r="171" spans="2:7" x14ac:dyDescent="0.2">
      <c r="B171" s="16" t="s">
        <v>275</v>
      </c>
      <c r="C171" s="17">
        <v>522.54999999999995</v>
      </c>
      <c r="D171" s="17">
        <v>1121.18</v>
      </c>
      <c r="E171" s="17">
        <f t="shared" si="4"/>
        <v>598.63000000000011</v>
      </c>
      <c r="F171" s="18">
        <f t="shared" si="5"/>
        <v>1.1455937230886999</v>
      </c>
      <c r="G171" s="21" t="s">
        <v>103</v>
      </c>
    </row>
    <row r="172" spans="2:7" x14ac:dyDescent="0.2">
      <c r="B172" s="16" t="s">
        <v>276</v>
      </c>
      <c r="C172" s="17">
        <v>0</v>
      </c>
      <c r="D172" s="17">
        <v>598.32000000000005</v>
      </c>
      <c r="E172" s="17">
        <f t="shared" si="4"/>
        <v>598.32000000000005</v>
      </c>
      <c r="F172" s="18">
        <f t="shared" si="5"/>
        <v>0</v>
      </c>
      <c r="G172" s="21" t="s">
        <v>110</v>
      </c>
    </row>
    <row r="173" spans="2:7" x14ac:dyDescent="0.2">
      <c r="B173" s="16" t="s">
        <v>277</v>
      </c>
      <c r="C173" s="17">
        <v>592.35</v>
      </c>
      <c r="D173" s="17">
        <v>0</v>
      </c>
      <c r="E173" s="17">
        <f t="shared" si="4"/>
        <v>-592.35</v>
      </c>
      <c r="F173" s="18">
        <f t="shared" si="5"/>
        <v>-1</v>
      </c>
      <c r="G173" s="22" t="s">
        <v>105</v>
      </c>
    </row>
    <row r="174" spans="2:7" x14ac:dyDescent="0.2">
      <c r="B174" s="16" t="s">
        <v>278</v>
      </c>
      <c r="C174" s="17">
        <v>563.15</v>
      </c>
      <c r="D174" s="17">
        <v>0</v>
      </c>
      <c r="E174" s="17">
        <f t="shared" si="4"/>
        <v>-563.15</v>
      </c>
      <c r="F174" s="18">
        <f t="shared" si="5"/>
        <v>-1</v>
      </c>
      <c r="G174" s="22" t="s">
        <v>105</v>
      </c>
    </row>
    <row r="175" spans="2:7" x14ac:dyDescent="0.2">
      <c r="B175" s="16" t="s">
        <v>279</v>
      </c>
      <c r="C175" s="17">
        <v>552.5</v>
      </c>
      <c r="D175" s="17">
        <v>0</v>
      </c>
      <c r="E175" s="17">
        <f t="shared" si="4"/>
        <v>-552.5</v>
      </c>
      <c r="F175" s="18">
        <f t="shared" si="5"/>
        <v>-1</v>
      </c>
      <c r="G175" s="22" t="s">
        <v>105</v>
      </c>
    </row>
    <row r="176" spans="2:7" x14ac:dyDescent="0.2">
      <c r="B176" s="16" t="s">
        <v>280</v>
      </c>
      <c r="C176" s="17">
        <v>0</v>
      </c>
      <c r="D176" s="17">
        <v>498.03</v>
      </c>
      <c r="E176" s="17">
        <f t="shared" si="4"/>
        <v>498.03</v>
      </c>
      <c r="F176" s="18">
        <f t="shared" si="5"/>
        <v>0</v>
      </c>
      <c r="G176" s="21" t="s">
        <v>110</v>
      </c>
    </row>
    <row r="177" spans="2:7" x14ac:dyDescent="0.2">
      <c r="B177" s="16" t="s">
        <v>281</v>
      </c>
      <c r="C177" s="17">
        <v>1496.68</v>
      </c>
      <c r="D177" s="17">
        <v>1991.54</v>
      </c>
      <c r="E177" s="17">
        <f t="shared" si="4"/>
        <v>494.8599999999999</v>
      </c>
      <c r="F177" s="18">
        <f t="shared" si="5"/>
        <v>0.33063847983536887</v>
      </c>
      <c r="G177" s="21" t="s">
        <v>103</v>
      </c>
    </row>
    <row r="178" spans="2:7" x14ac:dyDescent="0.2">
      <c r="B178" s="16" t="s">
        <v>282</v>
      </c>
      <c r="C178" s="17">
        <v>466.58</v>
      </c>
      <c r="D178" s="17">
        <v>0</v>
      </c>
      <c r="E178" s="17">
        <f t="shared" si="4"/>
        <v>-466.58</v>
      </c>
      <c r="F178" s="18">
        <f t="shared" si="5"/>
        <v>-1</v>
      </c>
      <c r="G178" s="22" t="s">
        <v>105</v>
      </c>
    </row>
    <row r="179" spans="2:7" x14ac:dyDescent="0.2">
      <c r="B179" s="16" t="s">
        <v>283</v>
      </c>
      <c r="C179" s="17">
        <v>460.57</v>
      </c>
      <c r="D179" s="17">
        <v>0</v>
      </c>
      <c r="E179" s="17">
        <f t="shared" si="4"/>
        <v>-460.57</v>
      </c>
      <c r="F179" s="18">
        <f t="shared" si="5"/>
        <v>-1</v>
      </c>
      <c r="G179" s="22" t="s">
        <v>105</v>
      </c>
    </row>
    <row r="180" spans="2:7" x14ac:dyDescent="0.2">
      <c r="B180" s="16" t="s">
        <v>284</v>
      </c>
      <c r="C180" s="17">
        <v>1476.55</v>
      </c>
      <c r="D180" s="17">
        <v>1017.67</v>
      </c>
      <c r="E180" s="17">
        <f t="shared" si="4"/>
        <v>-458.88</v>
      </c>
      <c r="F180" s="18">
        <f t="shared" si="5"/>
        <v>-0.31077850394500695</v>
      </c>
      <c r="G180" s="22" t="s">
        <v>107</v>
      </c>
    </row>
    <row r="181" spans="2:7" x14ac:dyDescent="0.2">
      <c r="B181" s="16" t="s">
        <v>285</v>
      </c>
      <c r="C181" s="17">
        <v>613.99</v>
      </c>
      <c r="D181" s="17">
        <v>157.27000000000001</v>
      </c>
      <c r="E181" s="17">
        <f t="shared" si="4"/>
        <v>-456.72</v>
      </c>
      <c r="F181" s="18">
        <f t="shared" si="5"/>
        <v>-0.74385576312317792</v>
      </c>
      <c r="G181" s="22" t="s">
        <v>107</v>
      </c>
    </row>
    <row r="182" spans="2:7" x14ac:dyDescent="0.2">
      <c r="B182" s="16" t="s">
        <v>286</v>
      </c>
      <c r="C182" s="17">
        <v>443.83</v>
      </c>
      <c r="D182" s="17">
        <v>0</v>
      </c>
      <c r="E182" s="17">
        <f t="shared" si="4"/>
        <v>-443.83</v>
      </c>
      <c r="F182" s="18">
        <f t="shared" si="5"/>
        <v>-1</v>
      </c>
      <c r="G182" s="22" t="s">
        <v>105</v>
      </c>
    </row>
    <row r="183" spans="2:7" x14ac:dyDescent="0.2">
      <c r="B183" s="16" t="s">
        <v>287</v>
      </c>
      <c r="C183" s="17">
        <v>940.68</v>
      </c>
      <c r="D183" s="17">
        <v>513.16999999999996</v>
      </c>
      <c r="E183" s="17">
        <f t="shared" si="4"/>
        <v>-427.51</v>
      </c>
      <c r="F183" s="18">
        <f t="shared" si="5"/>
        <v>-0.45446910745418212</v>
      </c>
      <c r="G183" s="22" t="s">
        <v>107</v>
      </c>
    </row>
    <row r="184" spans="2:7" x14ac:dyDescent="0.2">
      <c r="B184" s="16" t="s">
        <v>288</v>
      </c>
      <c r="C184" s="17">
        <v>680.88</v>
      </c>
      <c r="D184" s="17">
        <v>267.2</v>
      </c>
      <c r="E184" s="17">
        <f t="shared" si="4"/>
        <v>-413.68</v>
      </c>
      <c r="F184" s="18">
        <f t="shared" si="5"/>
        <v>-0.60756667841616729</v>
      </c>
      <c r="G184" s="22" t="s">
        <v>107</v>
      </c>
    </row>
    <row r="185" spans="2:7" x14ac:dyDescent="0.2">
      <c r="B185" s="16" t="s">
        <v>289</v>
      </c>
      <c r="C185" s="17">
        <v>0</v>
      </c>
      <c r="D185" s="17">
        <v>380.78</v>
      </c>
      <c r="E185" s="17">
        <f t="shared" si="4"/>
        <v>380.78</v>
      </c>
      <c r="F185" s="18">
        <f t="shared" si="5"/>
        <v>0</v>
      </c>
      <c r="G185" s="21" t="s">
        <v>110</v>
      </c>
    </row>
    <row r="186" spans="2:7" x14ac:dyDescent="0.2">
      <c r="B186" s="16" t="s">
        <v>290</v>
      </c>
      <c r="C186" s="17">
        <v>1298.0899999999999</v>
      </c>
      <c r="D186" s="17">
        <v>1673.25</v>
      </c>
      <c r="E186" s="17">
        <f t="shared" si="4"/>
        <v>375.16000000000008</v>
      </c>
      <c r="F186" s="18">
        <f t="shared" si="5"/>
        <v>0.28900923664769013</v>
      </c>
      <c r="G186" s="21" t="s">
        <v>103</v>
      </c>
    </row>
    <row r="187" spans="2:7" x14ac:dyDescent="0.2">
      <c r="B187" s="16" t="s">
        <v>291</v>
      </c>
      <c r="C187" s="17">
        <v>1527.12</v>
      </c>
      <c r="D187" s="17">
        <v>1157.72</v>
      </c>
      <c r="E187" s="17">
        <f t="shared" si="4"/>
        <v>-369.39999999999986</v>
      </c>
      <c r="F187" s="18">
        <f t="shared" si="5"/>
        <v>-0.24189323694274181</v>
      </c>
      <c r="G187" s="22" t="s">
        <v>107</v>
      </c>
    </row>
    <row r="188" spans="2:7" x14ac:dyDescent="0.2">
      <c r="B188" s="16" t="s">
        <v>292</v>
      </c>
      <c r="C188" s="17">
        <v>354.17</v>
      </c>
      <c r="D188" s="17">
        <v>0</v>
      </c>
      <c r="E188" s="17">
        <f t="shared" si="4"/>
        <v>-354.17</v>
      </c>
      <c r="F188" s="18">
        <f t="shared" si="5"/>
        <v>-1</v>
      </c>
      <c r="G188" s="22" t="s">
        <v>105</v>
      </c>
    </row>
    <row r="189" spans="2:7" x14ac:dyDescent="0.2">
      <c r="B189" s="16" t="s">
        <v>293</v>
      </c>
      <c r="C189" s="17">
        <v>2643.47</v>
      </c>
      <c r="D189" s="17">
        <v>2993.13</v>
      </c>
      <c r="E189" s="17">
        <f t="shared" si="4"/>
        <v>349.66000000000031</v>
      </c>
      <c r="F189" s="18">
        <f t="shared" si="5"/>
        <v>0.13227311072189218</v>
      </c>
      <c r="G189" s="21" t="s">
        <v>103</v>
      </c>
    </row>
    <row r="190" spans="2:7" x14ac:dyDescent="0.2">
      <c r="B190" s="16" t="s">
        <v>294</v>
      </c>
      <c r="C190" s="17">
        <v>0</v>
      </c>
      <c r="D190" s="17">
        <v>335</v>
      </c>
      <c r="E190" s="17">
        <f t="shared" si="4"/>
        <v>335</v>
      </c>
      <c r="F190" s="18">
        <f t="shared" si="5"/>
        <v>0</v>
      </c>
      <c r="G190" s="21" t="s">
        <v>110</v>
      </c>
    </row>
    <row r="191" spans="2:7" x14ac:dyDescent="0.2">
      <c r="B191" s="16" t="s">
        <v>295</v>
      </c>
      <c r="C191" s="17">
        <v>1893.06</v>
      </c>
      <c r="D191" s="17">
        <v>2223.29</v>
      </c>
      <c r="E191" s="17">
        <f t="shared" si="4"/>
        <v>330.23</v>
      </c>
      <c r="F191" s="18">
        <f t="shared" si="5"/>
        <v>0.17444243711240004</v>
      </c>
      <c r="G191" s="21" t="s">
        <v>103</v>
      </c>
    </row>
    <row r="192" spans="2:7" x14ac:dyDescent="0.2">
      <c r="B192" s="16" t="s">
        <v>296</v>
      </c>
      <c r="C192" s="17">
        <v>0</v>
      </c>
      <c r="D192" s="17">
        <v>320.45</v>
      </c>
      <c r="E192" s="17">
        <f t="shared" si="4"/>
        <v>320.45</v>
      </c>
      <c r="F192" s="18">
        <f t="shared" si="5"/>
        <v>0</v>
      </c>
      <c r="G192" s="21" t="s">
        <v>110</v>
      </c>
    </row>
    <row r="193" spans="2:7" x14ac:dyDescent="0.2">
      <c r="B193" s="16" t="s">
        <v>297</v>
      </c>
      <c r="C193" s="17">
        <v>311.39999999999998</v>
      </c>
      <c r="D193" s="17">
        <v>0</v>
      </c>
      <c r="E193" s="17">
        <f t="shared" si="4"/>
        <v>-311.39999999999998</v>
      </c>
      <c r="F193" s="18">
        <f t="shared" si="5"/>
        <v>-1</v>
      </c>
      <c r="G193" s="22" t="s">
        <v>105</v>
      </c>
    </row>
    <row r="194" spans="2:7" x14ac:dyDescent="0.2">
      <c r="B194" s="16" t="s">
        <v>298</v>
      </c>
      <c r="C194" s="17">
        <v>0</v>
      </c>
      <c r="D194" s="17">
        <v>302.22000000000003</v>
      </c>
      <c r="E194" s="17">
        <f t="shared" ref="E194:E257" si="6">D194-C194</f>
        <v>302.22000000000003</v>
      </c>
      <c r="F194" s="18">
        <f t="shared" ref="F194:F257" si="7">IFERROR(E194/ABS(C194),0)</f>
        <v>0</v>
      </c>
      <c r="G194" s="21" t="s">
        <v>110</v>
      </c>
    </row>
    <row r="195" spans="2:7" x14ac:dyDescent="0.2">
      <c r="B195" s="16" t="s">
        <v>299</v>
      </c>
      <c r="C195" s="17">
        <v>295.45999999999998</v>
      </c>
      <c r="D195" s="17">
        <v>0</v>
      </c>
      <c r="E195" s="17">
        <f t="shared" si="6"/>
        <v>-295.45999999999998</v>
      </c>
      <c r="F195" s="18">
        <f t="shared" si="7"/>
        <v>-1</v>
      </c>
      <c r="G195" s="22" t="s">
        <v>105</v>
      </c>
    </row>
    <row r="196" spans="2:7" x14ac:dyDescent="0.2">
      <c r="B196" s="16" t="s">
        <v>300</v>
      </c>
      <c r="C196" s="17">
        <v>257.62</v>
      </c>
      <c r="D196" s="17">
        <v>0</v>
      </c>
      <c r="E196" s="17">
        <f t="shared" si="6"/>
        <v>-257.62</v>
      </c>
      <c r="F196" s="18">
        <f t="shared" si="7"/>
        <v>-1</v>
      </c>
      <c r="G196" s="22" t="s">
        <v>105</v>
      </c>
    </row>
    <row r="197" spans="2:7" x14ac:dyDescent="0.2">
      <c r="B197" s="16" t="s">
        <v>301</v>
      </c>
      <c r="C197" s="17">
        <v>240</v>
      </c>
      <c r="D197" s="17">
        <v>0</v>
      </c>
      <c r="E197" s="17">
        <f t="shared" si="6"/>
        <v>-240</v>
      </c>
      <c r="F197" s="18">
        <f t="shared" si="7"/>
        <v>-1</v>
      </c>
      <c r="G197" s="22" t="s">
        <v>105</v>
      </c>
    </row>
    <row r="198" spans="2:7" x14ac:dyDescent="0.2">
      <c r="B198" s="16" t="s">
        <v>302</v>
      </c>
      <c r="C198" s="17">
        <v>0</v>
      </c>
      <c r="D198" s="17">
        <v>239.2</v>
      </c>
      <c r="E198" s="17">
        <f t="shared" si="6"/>
        <v>239.2</v>
      </c>
      <c r="F198" s="18">
        <f t="shared" si="7"/>
        <v>0</v>
      </c>
      <c r="G198" s="21" t="s">
        <v>110</v>
      </c>
    </row>
    <row r="199" spans="2:7" x14ac:dyDescent="0.2">
      <c r="B199" s="16" t="s">
        <v>303</v>
      </c>
      <c r="C199" s="17">
        <v>234</v>
      </c>
      <c r="D199" s="17">
        <v>0</v>
      </c>
      <c r="E199" s="17">
        <f t="shared" si="6"/>
        <v>-234</v>
      </c>
      <c r="F199" s="18">
        <f t="shared" si="7"/>
        <v>-1</v>
      </c>
      <c r="G199" s="22" t="s">
        <v>105</v>
      </c>
    </row>
    <row r="200" spans="2:7" x14ac:dyDescent="0.2">
      <c r="B200" s="16" t="s">
        <v>304</v>
      </c>
      <c r="C200" s="17">
        <v>2303.1</v>
      </c>
      <c r="D200" s="17">
        <v>2070.73</v>
      </c>
      <c r="E200" s="17">
        <f t="shared" si="6"/>
        <v>-232.36999999999989</v>
      </c>
      <c r="F200" s="18">
        <f t="shared" si="7"/>
        <v>-0.10089444661543133</v>
      </c>
      <c r="G200" s="22" t="s">
        <v>107</v>
      </c>
    </row>
    <row r="201" spans="2:7" x14ac:dyDescent="0.2">
      <c r="B201" s="16" t="s">
        <v>305</v>
      </c>
      <c r="C201" s="17">
        <v>487.33</v>
      </c>
      <c r="D201" s="17">
        <v>255.72</v>
      </c>
      <c r="E201" s="17">
        <f t="shared" si="6"/>
        <v>-231.60999999999999</v>
      </c>
      <c r="F201" s="18">
        <f t="shared" si="7"/>
        <v>-0.47526316869472429</v>
      </c>
      <c r="G201" s="22" t="s">
        <v>107</v>
      </c>
    </row>
    <row r="202" spans="2:7" x14ac:dyDescent="0.2">
      <c r="B202" s="16" t="s">
        <v>306</v>
      </c>
      <c r="C202" s="17">
        <v>150</v>
      </c>
      <c r="D202" s="17">
        <v>0</v>
      </c>
      <c r="E202" s="17">
        <f t="shared" si="6"/>
        <v>-150</v>
      </c>
      <c r="F202" s="18">
        <f t="shared" si="7"/>
        <v>-1</v>
      </c>
      <c r="G202" s="22" t="s">
        <v>105</v>
      </c>
    </row>
    <row r="203" spans="2:7" x14ac:dyDescent="0.2">
      <c r="B203" s="16" t="s">
        <v>307</v>
      </c>
      <c r="C203" s="17">
        <v>0</v>
      </c>
      <c r="D203" s="17">
        <v>146.02000000000001</v>
      </c>
      <c r="E203" s="17">
        <f t="shared" si="6"/>
        <v>146.02000000000001</v>
      </c>
      <c r="F203" s="18">
        <f t="shared" si="7"/>
        <v>0</v>
      </c>
      <c r="G203" s="21" t="s">
        <v>110</v>
      </c>
    </row>
    <row r="204" spans="2:7" x14ac:dyDescent="0.2">
      <c r="B204" s="16" t="s">
        <v>308</v>
      </c>
      <c r="C204" s="17">
        <v>139.26</v>
      </c>
      <c r="D204" s="17">
        <v>0</v>
      </c>
      <c r="E204" s="17">
        <f t="shared" si="6"/>
        <v>-139.26</v>
      </c>
      <c r="F204" s="18">
        <f t="shared" si="7"/>
        <v>-1</v>
      </c>
      <c r="G204" s="22" t="s">
        <v>105</v>
      </c>
    </row>
    <row r="205" spans="2:7" x14ac:dyDescent="0.2">
      <c r="B205" s="16" t="s">
        <v>309</v>
      </c>
      <c r="C205" s="17">
        <v>0</v>
      </c>
      <c r="D205" s="17">
        <v>138.77000000000001</v>
      </c>
      <c r="E205" s="17">
        <f t="shared" si="6"/>
        <v>138.77000000000001</v>
      </c>
      <c r="F205" s="18">
        <f t="shared" si="7"/>
        <v>0</v>
      </c>
      <c r="G205" s="21" t="s">
        <v>110</v>
      </c>
    </row>
    <row r="206" spans="2:7" x14ac:dyDescent="0.2">
      <c r="B206" s="16" t="s">
        <v>310</v>
      </c>
      <c r="C206" s="17">
        <v>0</v>
      </c>
      <c r="D206" s="17">
        <v>124.89</v>
      </c>
      <c r="E206" s="17">
        <f t="shared" si="6"/>
        <v>124.89</v>
      </c>
      <c r="F206" s="18">
        <f t="shared" si="7"/>
        <v>0</v>
      </c>
      <c r="G206" s="21" t="s">
        <v>110</v>
      </c>
    </row>
    <row r="207" spans="2:7" x14ac:dyDescent="0.2">
      <c r="B207" s="16" t="s">
        <v>311</v>
      </c>
      <c r="C207" s="17">
        <v>107.65</v>
      </c>
      <c r="D207" s="17">
        <v>0</v>
      </c>
      <c r="E207" s="17">
        <f t="shared" si="6"/>
        <v>-107.65</v>
      </c>
      <c r="F207" s="18">
        <f t="shared" si="7"/>
        <v>-1</v>
      </c>
      <c r="G207" s="22" t="s">
        <v>105</v>
      </c>
    </row>
    <row r="208" spans="2:7" x14ac:dyDescent="0.2">
      <c r="B208" s="16" t="s">
        <v>312</v>
      </c>
      <c r="C208" s="17">
        <v>0</v>
      </c>
      <c r="D208" s="17">
        <v>99.39</v>
      </c>
      <c r="E208" s="17">
        <f t="shared" si="6"/>
        <v>99.39</v>
      </c>
      <c r="F208" s="18">
        <f t="shared" si="7"/>
        <v>0</v>
      </c>
      <c r="G208" s="21" t="s">
        <v>110</v>
      </c>
    </row>
    <row r="209" spans="2:7" x14ac:dyDescent="0.2">
      <c r="B209" s="16" t="s">
        <v>313</v>
      </c>
      <c r="C209" s="17">
        <v>99</v>
      </c>
      <c r="D209" s="17">
        <v>0</v>
      </c>
      <c r="E209" s="17">
        <f t="shared" si="6"/>
        <v>-99</v>
      </c>
      <c r="F209" s="18">
        <f t="shared" si="7"/>
        <v>-1</v>
      </c>
      <c r="G209" s="22" t="s">
        <v>105</v>
      </c>
    </row>
    <row r="210" spans="2:7" x14ac:dyDescent="0.2">
      <c r="B210" s="16" t="s">
        <v>314</v>
      </c>
      <c r="C210" s="17">
        <v>0</v>
      </c>
      <c r="D210" s="17">
        <v>96.43</v>
      </c>
      <c r="E210" s="17">
        <f t="shared" si="6"/>
        <v>96.43</v>
      </c>
      <c r="F210" s="18">
        <f t="shared" si="7"/>
        <v>0</v>
      </c>
      <c r="G210" s="21" t="s">
        <v>110</v>
      </c>
    </row>
    <row r="211" spans="2:7" x14ac:dyDescent="0.2">
      <c r="B211" s="16" t="s">
        <v>315</v>
      </c>
      <c r="C211" s="17">
        <v>96.4</v>
      </c>
      <c r="D211" s="17">
        <v>0</v>
      </c>
      <c r="E211" s="17">
        <f t="shared" si="6"/>
        <v>-96.4</v>
      </c>
      <c r="F211" s="18">
        <f t="shared" si="7"/>
        <v>-1</v>
      </c>
      <c r="G211" s="22" t="s">
        <v>105</v>
      </c>
    </row>
    <row r="212" spans="2:7" x14ac:dyDescent="0.2">
      <c r="B212" s="16" t="s">
        <v>316</v>
      </c>
      <c r="C212" s="17">
        <v>0</v>
      </c>
      <c r="D212" s="17">
        <v>96.24</v>
      </c>
      <c r="E212" s="17">
        <f t="shared" si="6"/>
        <v>96.24</v>
      </c>
      <c r="F212" s="18">
        <f t="shared" si="7"/>
        <v>0</v>
      </c>
      <c r="G212" s="21" t="s">
        <v>110</v>
      </c>
    </row>
    <row r="213" spans="2:7" x14ac:dyDescent="0.2">
      <c r="B213" s="16" t="s">
        <v>317</v>
      </c>
      <c r="C213" s="17">
        <v>0</v>
      </c>
      <c r="D213" s="17">
        <v>95.83</v>
      </c>
      <c r="E213" s="17">
        <f t="shared" si="6"/>
        <v>95.83</v>
      </c>
      <c r="F213" s="18">
        <f t="shared" si="7"/>
        <v>0</v>
      </c>
      <c r="G213" s="21" t="s">
        <v>110</v>
      </c>
    </row>
    <row r="214" spans="2:7" x14ac:dyDescent="0.2">
      <c r="B214" s="16" t="s">
        <v>318</v>
      </c>
      <c r="C214" s="17">
        <v>95</v>
      </c>
      <c r="D214" s="17">
        <v>0</v>
      </c>
      <c r="E214" s="17">
        <f t="shared" si="6"/>
        <v>-95</v>
      </c>
      <c r="F214" s="18">
        <f t="shared" si="7"/>
        <v>-1</v>
      </c>
      <c r="G214" s="22" t="s">
        <v>105</v>
      </c>
    </row>
    <row r="215" spans="2:7" x14ac:dyDescent="0.2">
      <c r="B215" s="16" t="s">
        <v>319</v>
      </c>
      <c r="C215" s="17">
        <v>95</v>
      </c>
      <c r="D215" s="17">
        <v>0</v>
      </c>
      <c r="E215" s="17">
        <f t="shared" si="6"/>
        <v>-95</v>
      </c>
      <c r="F215" s="18">
        <f t="shared" si="7"/>
        <v>-1</v>
      </c>
      <c r="G215" s="22" t="s">
        <v>105</v>
      </c>
    </row>
    <row r="216" spans="2:7" x14ac:dyDescent="0.2">
      <c r="B216" s="16" t="s">
        <v>320</v>
      </c>
      <c r="C216" s="17">
        <v>95</v>
      </c>
      <c r="D216" s="17">
        <v>0</v>
      </c>
      <c r="E216" s="17">
        <f t="shared" si="6"/>
        <v>-95</v>
      </c>
      <c r="F216" s="18">
        <f t="shared" si="7"/>
        <v>-1</v>
      </c>
      <c r="G216" s="22" t="s">
        <v>105</v>
      </c>
    </row>
    <row r="217" spans="2:7" x14ac:dyDescent="0.2">
      <c r="B217" s="16" t="s">
        <v>321</v>
      </c>
      <c r="C217" s="17">
        <v>1759.09</v>
      </c>
      <c r="D217" s="17">
        <v>1665.82</v>
      </c>
      <c r="E217" s="17">
        <f t="shared" si="6"/>
        <v>-93.269999999999982</v>
      </c>
      <c r="F217" s="18">
        <f t="shared" si="7"/>
        <v>-5.3021732827768897E-2</v>
      </c>
      <c r="G217" s="22" t="s">
        <v>107</v>
      </c>
    </row>
    <row r="218" spans="2:7" x14ac:dyDescent="0.2">
      <c r="B218" s="16" t="s">
        <v>322</v>
      </c>
      <c r="C218" s="17">
        <v>0</v>
      </c>
      <c r="D218" s="17">
        <v>93.06</v>
      </c>
      <c r="E218" s="17">
        <f t="shared" si="6"/>
        <v>93.06</v>
      </c>
      <c r="F218" s="18">
        <f t="shared" si="7"/>
        <v>0</v>
      </c>
      <c r="G218" s="21" t="s">
        <v>110</v>
      </c>
    </row>
    <row r="219" spans="2:7" x14ac:dyDescent="0.2">
      <c r="B219" s="16" t="s">
        <v>323</v>
      </c>
      <c r="C219" s="17">
        <v>0</v>
      </c>
      <c r="D219" s="17">
        <v>90.7</v>
      </c>
      <c r="E219" s="17">
        <f t="shared" si="6"/>
        <v>90.7</v>
      </c>
      <c r="F219" s="18">
        <f t="shared" si="7"/>
        <v>0</v>
      </c>
      <c r="G219" s="21" t="s">
        <v>110</v>
      </c>
    </row>
    <row r="220" spans="2:7" x14ac:dyDescent="0.2">
      <c r="B220" s="16" t="s">
        <v>324</v>
      </c>
      <c r="C220" s="17">
        <v>0</v>
      </c>
      <c r="D220" s="17">
        <v>82.19</v>
      </c>
      <c r="E220" s="17">
        <f t="shared" si="6"/>
        <v>82.19</v>
      </c>
      <c r="F220" s="18">
        <f t="shared" si="7"/>
        <v>0</v>
      </c>
      <c r="G220" s="21" t="s">
        <v>110</v>
      </c>
    </row>
    <row r="221" spans="2:7" x14ac:dyDescent="0.2">
      <c r="B221" s="16" t="s">
        <v>325</v>
      </c>
      <c r="C221" s="17">
        <v>0</v>
      </c>
      <c r="D221" s="17">
        <v>81.319999999999993</v>
      </c>
      <c r="E221" s="17">
        <f t="shared" si="6"/>
        <v>81.319999999999993</v>
      </c>
      <c r="F221" s="18">
        <f t="shared" si="7"/>
        <v>0</v>
      </c>
      <c r="G221" s="21" t="s">
        <v>110</v>
      </c>
    </row>
    <row r="222" spans="2:7" x14ac:dyDescent="0.2">
      <c r="B222" s="16" t="s">
        <v>326</v>
      </c>
      <c r="C222" s="17">
        <v>0</v>
      </c>
      <c r="D222" s="17">
        <v>80.14</v>
      </c>
      <c r="E222" s="17">
        <f t="shared" si="6"/>
        <v>80.14</v>
      </c>
      <c r="F222" s="18">
        <f t="shared" si="7"/>
        <v>0</v>
      </c>
      <c r="G222" s="21" t="s">
        <v>110</v>
      </c>
    </row>
    <row r="223" spans="2:7" x14ac:dyDescent="0.2">
      <c r="B223" s="16" t="s">
        <v>327</v>
      </c>
      <c r="C223" s="17">
        <v>0</v>
      </c>
      <c r="D223" s="17">
        <v>79.03</v>
      </c>
      <c r="E223" s="17">
        <f t="shared" si="6"/>
        <v>79.03</v>
      </c>
      <c r="F223" s="18">
        <f t="shared" si="7"/>
        <v>0</v>
      </c>
      <c r="G223" s="21" t="s">
        <v>110</v>
      </c>
    </row>
    <row r="224" spans="2:7" x14ac:dyDescent="0.2">
      <c r="B224" s="16" t="s">
        <v>328</v>
      </c>
      <c r="C224" s="17">
        <v>0</v>
      </c>
      <c r="D224" s="17">
        <v>76.319999999999993</v>
      </c>
      <c r="E224" s="17">
        <f t="shared" si="6"/>
        <v>76.319999999999993</v>
      </c>
      <c r="F224" s="18">
        <f t="shared" si="7"/>
        <v>0</v>
      </c>
      <c r="G224" s="21" t="s">
        <v>110</v>
      </c>
    </row>
    <row r="225" spans="2:7" x14ac:dyDescent="0.2">
      <c r="B225" s="16" t="s">
        <v>329</v>
      </c>
      <c r="C225" s="17">
        <v>0</v>
      </c>
      <c r="D225" s="17">
        <v>75.44</v>
      </c>
      <c r="E225" s="17">
        <f t="shared" si="6"/>
        <v>75.44</v>
      </c>
      <c r="F225" s="18">
        <f t="shared" si="7"/>
        <v>0</v>
      </c>
      <c r="G225" s="21" t="s">
        <v>110</v>
      </c>
    </row>
    <row r="226" spans="2:7" x14ac:dyDescent="0.2">
      <c r="B226" s="16" t="s">
        <v>330</v>
      </c>
      <c r="C226" s="17">
        <v>0</v>
      </c>
      <c r="D226" s="17">
        <v>75</v>
      </c>
      <c r="E226" s="17">
        <f t="shared" si="6"/>
        <v>75</v>
      </c>
      <c r="F226" s="18">
        <f t="shared" si="7"/>
        <v>0</v>
      </c>
      <c r="G226" s="21" t="s">
        <v>110</v>
      </c>
    </row>
    <row r="227" spans="2:7" x14ac:dyDescent="0.2">
      <c r="B227" s="16" t="s">
        <v>331</v>
      </c>
      <c r="C227" s="17">
        <v>0</v>
      </c>
      <c r="D227" s="17">
        <v>73.760000000000005</v>
      </c>
      <c r="E227" s="17">
        <f t="shared" si="6"/>
        <v>73.760000000000005</v>
      </c>
      <c r="F227" s="18">
        <f t="shared" si="7"/>
        <v>0</v>
      </c>
      <c r="G227" s="21" t="s">
        <v>110</v>
      </c>
    </row>
    <row r="228" spans="2:7" x14ac:dyDescent="0.2">
      <c r="B228" s="16" t="s">
        <v>332</v>
      </c>
      <c r="C228" s="17">
        <v>0</v>
      </c>
      <c r="D228" s="17">
        <v>69.86</v>
      </c>
      <c r="E228" s="17">
        <f t="shared" si="6"/>
        <v>69.86</v>
      </c>
      <c r="F228" s="18">
        <f t="shared" si="7"/>
        <v>0</v>
      </c>
      <c r="G228" s="21" t="s">
        <v>110</v>
      </c>
    </row>
    <row r="229" spans="2:7" x14ac:dyDescent="0.2">
      <c r="B229" s="16" t="s">
        <v>333</v>
      </c>
      <c r="C229" s="17">
        <v>0</v>
      </c>
      <c r="D229" s="17">
        <v>69.12</v>
      </c>
      <c r="E229" s="17">
        <f t="shared" si="6"/>
        <v>69.12</v>
      </c>
      <c r="F229" s="18">
        <f t="shared" si="7"/>
        <v>0</v>
      </c>
      <c r="G229" s="21" t="s">
        <v>110</v>
      </c>
    </row>
    <row r="230" spans="2:7" x14ac:dyDescent="0.2">
      <c r="B230" s="16" t="s">
        <v>334</v>
      </c>
      <c r="C230" s="17">
        <v>526.51</v>
      </c>
      <c r="D230" s="17">
        <v>458.13</v>
      </c>
      <c r="E230" s="17">
        <f t="shared" si="6"/>
        <v>-68.38</v>
      </c>
      <c r="F230" s="18">
        <f t="shared" si="7"/>
        <v>-0.12987407646578411</v>
      </c>
      <c r="G230" s="22" t="s">
        <v>107</v>
      </c>
    </row>
    <row r="231" spans="2:7" x14ac:dyDescent="0.2">
      <c r="B231" s="16" t="s">
        <v>335</v>
      </c>
      <c r="C231" s="17">
        <v>0</v>
      </c>
      <c r="D231" s="17">
        <v>66.569999999999993</v>
      </c>
      <c r="E231" s="17">
        <f t="shared" si="6"/>
        <v>66.569999999999993</v>
      </c>
      <c r="F231" s="18">
        <f t="shared" si="7"/>
        <v>0</v>
      </c>
      <c r="G231" s="21" t="s">
        <v>110</v>
      </c>
    </row>
    <row r="232" spans="2:7" x14ac:dyDescent="0.2">
      <c r="B232" s="16" t="s">
        <v>336</v>
      </c>
      <c r="C232" s="17">
        <v>0</v>
      </c>
      <c r="D232" s="17">
        <v>61.44</v>
      </c>
      <c r="E232" s="17">
        <f t="shared" si="6"/>
        <v>61.44</v>
      </c>
      <c r="F232" s="18">
        <f t="shared" si="7"/>
        <v>0</v>
      </c>
      <c r="G232" s="21" t="s">
        <v>110</v>
      </c>
    </row>
    <row r="233" spans="2:7" x14ac:dyDescent="0.2">
      <c r="B233" s="16" t="s">
        <v>337</v>
      </c>
      <c r="C233" s="17">
        <v>0</v>
      </c>
      <c r="D233" s="17">
        <v>57.24</v>
      </c>
      <c r="E233" s="17">
        <f t="shared" si="6"/>
        <v>57.24</v>
      </c>
      <c r="F233" s="18">
        <f t="shared" si="7"/>
        <v>0</v>
      </c>
      <c r="G233" s="21" t="s">
        <v>110</v>
      </c>
    </row>
    <row r="234" spans="2:7" x14ac:dyDescent="0.2">
      <c r="B234" s="16" t="s">
        <v>338</v>
      </c>
      <c r="C234" s="17">
        <v>55.3</v>
      </c>
      <c r="D234" s="17">
        <v>0</v>
      </c>
      <c r="E234" s="17">
        <f t="shared" si="6"/>
        <v>-55.3</v>
      </c>
      <c r="F234" s="18">
        <f t="shared" si="7"/>
        <v>-1</v>
      </c>
      <c r="G234" s="22" t="s">
        <v>105</v>
      </c>
    </row>
    <row r="235" spans="2:7" x14ac:dyDescent="0.2">
      <c r="B235" s="16" t="s">
        <v>339</v>
      </c>
      <c r="C235" s="17">
        <v>0</v>
      </c>
      <c r="D235" s="17">
        <v>54.98</v>
      </c>
      <c r="E235" s="17">
        <f t="shared" si="6"/>
        <v>54.98</v>
      </c>
      <c r="F235" s="18">
        <f t="shared" si="7"/>
        <v>0</v>
      </c>
      <c r="G235" s="21" t="s">
        <v>110</v>
      </c>
    </row>
    <row r="236" spans="2:7" x14ac:dyDescent="0.2">
      <c r="B236" s="16" t="s">
        <v>340</v>
      </c>
      <c r="C236" s="17">
        <v>0</v>
      </c>
      <c r="D236" s="17">
        <v>54.98</v>
      </c>
      <c r="E236" s="17">
        <f t="shared" si="6"/>
        <v>54.98</v>
      </c>
      <c r="F236" s="18">
        <f t="shared" si="7"/>
        <v>0</v>
      </c>
      <c r="G236" s="21" t="s">
        <v>110</v>
      </c>
    </row>
    <row r="237" spans="2:7" x14ac:dyDescent="0.2">
      <c r="B237" s="16" t="s">
        <v>341</v>
      </c>
      <c r="C237" s="17">
        <v>0</v>
      </c>
      <c r="D237" s="17">
        <v>52.26</v>
      </c>
      <c r="E237" s="17">
        <f t="shared" si="6"/>
        <v>52.26</v>
      </c>
      <c r="F237" s="18">
        <f t="shared" si="7"/>
        <v>0</v>
      </c>
      <c r="G237" s="21" t="s">
        <v>110</v>
      </c>
    </row>
    <row r="238" spans="2:7" x14ac:dyDescent="0.2">
      <c r="B238" s="16" t="s">
        <v>342</v>
      </c>
      <c r="C238" s="17">
        <v>0</v>
      </c>
      <c r="D238" s="17">
        <v>50</v>
      </c>
      <c r="E238" s="17">
        <f t="shared" si="6"/>
        <v>50</v>
      </c>
      <c r="F238" s="18">
        <f t="shared" si="7"/>
        <v>0</v>
      </c>
      <c r="G238" s="21" t="s">
        <v>110</v>
      </c>
    </row>
    <row r="239" spans="2:7" x14ac:dyDescent="0.2">
      <c r="B239" s="16" t="s">
        <v>343</v>
      </c>
      <c r="C239" s="17">
        <v>50</v>
      </c>
      <c r="D239" s="17">
        <v>0</v>
      </c>
      <c r="E239" s="17">
        <f t="shared" si="6"/>
        <v>-50</v>
      </c>
      <c r="F239" s="18">
        <f t="shared" si="7"/>
        <v>-1</v>
      </c>
      <c r="G239" s="22" t="s">
        <v>105</v>
      </c>
    </row>
    <row r="240" spans="2:7" x14ac:dyDescent="0.2">
      <c r="B240" s="16" t="s">
        <v>344</v>
      </c>
      <c r="C240" s="17">
        <v>50</v>
      </c>
      <c r="D240" s="17">
        <v>0</v>
      </c>
      <c r="E240" s="17">
        <f t="shared" si="6"/>
        <v>-50</v>
      </c>
      <c r="F240" s="18">
        <f t="shared" si="7"/>
        <v>-1</v>
      </c>
      <c r="G240" s="22" t="s">
        <v>105</v>
      </c>
    </row>
    <row r="241" spans="2:7" x14ac:dyDescent="0.2">
      <c r="B241" s="16" t="s">
        <v>345</v>
      </c>
      <c r="C241" s="17">
        <v>0</v>
      </c>
      <c r="D241" s="17">
        <v>49.95</v>
      </c>
      <c r="E241" s="17">
        <f t="shared" si="6"/>
        <v>49.95</v>
      </c>
      <c r="F241" s="18">
        <f t="shared" si="7"/>
        <v>0</v>
      </c>
      <c r="G241" s="21" t="s">
        <v>110</v>
      </c>
    </row>
    <row r="242" spans="2:7" x14ac:dyDescent="0.2">
      <c r="B242" s="16" t="s">
        <v>346</v>
      </c>
      <c r="C242" s="17">
        <v>418.45</v>
      </c>
      <c r="D242" s="17">
        <v>369.8</v>
      </c>
      <c r="E242" s="17">
        <f t="shared" si="6"/>
        <v>-48.649999999999977</v>
      </c>
      <c r="F242" s="18">
        <f t="shared" si="7"/>
        <v>-0.11626239694109207</v>
      </c>
      <c r="G242" s="22" t="s">
        <v>107</v>
      </c>
    </row>
    <row r="243" spans="2:7" x14ac:dyDescent="0.2">
      <c r="B243" s="16" t="s">
        <v>347</v>
      </c>
      <c r="C243" s="17">
        <v>138.15</v>
      </c>
      <c r="D243" s="17">
        <v>91.2</v>
      </c>
      <c r="E243" s="17">
        <f t="shared" si="6"/>
        <v>-46.95</v>
      </c>
      <c r="F243" s="18">
        <f t="shared" si="7"/>
        <v>-0.33984799131378934</v>
      </c>
      <c r="G243" s="22" t="s">
        <v>107</v>
      </c>
    </row>
    <row r="244" spans="2:7" x14ac:dyDescent="0.2">
      <c r="B244" s="16" t="s">
        <v>348</v>
      </c>
      <c r="C244" s="17">
        <v>0</v>
      </c>
      <c r="D244" s="17">
        <v>45.38</v>
      </c>
      <c r="E244" s="17">
        <f t="shared" si="6"/>
        <v>45.38</v>
      </c>
      <c r="F244" s="18">
        <f t="shared" si="7"/>
        <v>0</v>
      </c>
      <c r="G244" s="21" t="s">
        <v>110</v>
      </c>
    </row>
    <row r="245" spans="2:7" x14ac:dyDescent="0.2">
      <c r="B245" s="16" t="s">
        <v>349</v>
      </c>
      <c r="C245" s="17">
        <v>0</v>
      </c>
      <c r="D245" s="17">
        <v>42.16</v>
      </c>
      <c r="E245" s="17">
        <f t="shared" si="6"/>
        <v>42.16</v>
      </c>
      <c r="F245" s="18">
        <f t="shared" si="7"/>
        <v>0</v>
      </c>
      <c r="G245" s="21" t="s">
        <v>110</v>
      </c>
    </row>
    <row r="246" spans="2:7" x14ac:dyDescent="0.2">
      <c r="B246" s="16" t="s">
        <v>350</v>
      </c>
      <c r="C246" s="17">
        <v>0</v>
      </c>
      <c r="D246" s="17">
        <v>41.22</v>
      </c>
      <c r="E246" s="17">
        <f t="shared" si="6"/>
        <v>41.22</v>
      </c>
      <c r="F246" s="18">
        <f t="shared" si="7"/>
        <v>0</v>
      </c>
      <c r="G246" s="21" t="s">
        <v>110</v>
      </c>
    </row>
    <row r="247" spans="2:7" x14ac:dyDescent="0.2">
      <c r="B247" s="16" t="s">
        <v>351</v>
      </c>
      <c r="C247" s="17">
        <v>0</v>
      </c>
      <c r="D247" s="17">
        <v>39.729999999999997</v>
      </c>
      <c r="E247" s="17">
        <f t="shared" si="6"/>
        <v>39.729999999999997</v>
      </c>
      <c r="F247" s="18">
        <f t="shared" si="7"/>
        <v>0</v>
      </c>
      <c r="G247" s="21" t="s">
        <v>110</v>
      </c>
    </row>
    <row r="248" spans="2:7" x14ac:dyDescent="0.2">
      <c r="B248" s="16" t="s">
        <v>352</v>
      </c>
      <c r="C248" s="17">
        <v>0</v>
      </c>
      <c r="D248" s="17">
        <v>36.659999999999997</v>
      </c>
      <c r="E248" s="17">
        <f t="shared" si="6"/>
        <v>36.659999999999997</v>
      </c>
      <c r="F248" s="18">
        <f t="shared" si="7"/>
        <v>0</v>
      </c>
      <c r="G248" s="21" t="s">
        <v>110</v>
      </c>
    </row>
    <row r="249" spans="2:7" x14ac:dyDescent="0.2">
      <c r="B249" s="16" t="s">
        <v>353</v>
      </c>
      <c r="C249" s="17">
        <v>208.97</v>
      </c>
      <c r="D249" s="17">
        <v>175.8</v>
      </c>
      <c r="E249" s="17">
        <f t="shared" si="6"/>
        <v>-33.169999999999987</v>
      </c>
      <c r="F249" s="18">
        <f t="shared" si="7"/>
        <v>-0.15873091831363348</v>
      </c>
      <c r="G249" s="22" t="s">
        <v>107</v>
      </c>
    </row>
    <row r="250" spans="2:7" x14ac:dyDescent="0.2">
      <c r="B250" s="16" t="s">
        <v>354</v>
      </c>
      <c r="C250" s="17">
        <v>0</v>
      </c>
      <c r="D250" s="17">
        <v>30</v>
      </c>
      <c r="E250" s="17">
        <f t="shared" si="6"/>
        <v>30</v>
      </c>
      <c r="F250" s="18">
        <f t="shared" si="7"/>
        <v>0</v>
      </c>
      <c r="G250" s="21" t="s">
        <v>110</v>
      </c>
    </row>
    <row r="251" spans="2:7" x14ac:dyDescent="0.2">
      <c r="B251" s="16" t="s">
        <v>355</v>
      </c>
      <c r="C251" s="17">
        <v>0</v>
      </c>
      <c r="D251" s="17">
        <v>29.97</v>
      </c>
      <c r="E251" s="17">
        <f t="shared" si="6"/>
        <v>29.97</v>
      </c>
      <c r="F251" s="18">
        <f t="shared" si="7"/>
        <v>0</v>
      </c>
      <c r="G251" s="21" t="s">
        <v>110</v>
      </c>
    </row>
    <row r="252" spans="2:7" x14ac:dyDescent="0.2">
      <c r="B252" s="16" t="s">
        <v>356</v>
      </c>
      <c r="C252" s="17">
        <v>0</v>
      </c>
      <c r="D252" s="17">
        <v>29.97</v>
      </c>
      <c r="E252" s="17">
        <f t="shared" si="6"/>
        <v>29.97</v>
      </c>
      <c r="F252" s="18">
        <f t="shared" si="7"/>
        <v>0</v>
      </c>
      <c r="G252" s="21" t="s">
        <v>110</v>
      </c>
    </row>
    <row r="253" spans="2:7" x14ac:dyDescent="0.2">
      <c r="B253" s="16" t="s">
        <v>357</v>
      </c>
      <c r="C253" s="17">
        <v>0</v>
      </c>
      <c r="D253" s="17">
        <v>29.23</v>
      </c>
      <c r="E253" s="17">
        <f t="shared" si="6"/>
        <v>29.23</v>
      </c>
      <c r="F253" s="18">
        <f t="shared" si="7"/>
        <v>0</v>
      </c>
      <c r="G253" s="21" t="s">
        <v>110</v>
      </c>
    </row>
    <row r="254" spans="2:7" x14ac:dyDescent="0.2">
      <c r="B254" s="16" t="s">
        <v>358</v>
      </c>
      <c r="C254" s="17">
        <v>0</v>
      </c>
      <c r="D254" s="17">
        <v>28.29</v>
      </c>
      <c r="E254" s="17">
        <f t="shared" si="6"/>
        <v>28.29</v>
      </c>
      <c r="F254" s="18">
        <f t="shared" si="7"/>
        <v>0</v>
      </c>
      <c r="G254" s="21" t="s">
        <v>110</v>
      </c>
    </row>
    <row r="255" spans="2:7" x14ac:dyDescent="0.2">
      <c r="B255" s="16" t="s">
        <v>359</v>
      </c>
      <c r="C255" s="17">
        <v>0</v>
      </c>
      <c r="D255" s="17">
        <v>23.4</v>
      </c>
      <c r="E255" s="17">
        <f t="shared" si="6"/>
        <v>23.4</v>
      </c>
      <c r="F255" s="18">
        <f t="shared" si="7"/>
        <v>0</v>
      </c>
      <c r="G255" s="21" t="s">
        <v>110</v>
      </c>
    </row>
    <row r="256" spans="2:7" x14ac:dyDescent="0.2">
      <c r="B256" s="16" t="s">
        <v>360</v>
      </c>
      <c r="C256" s="17">
        <v>0</v>
      </c>
      <c r="D256" s="17">
        <v>20.88</v>
      </c>
      <c r="E256" s="17">
        <f t="shared" si="6"/>
        <v>20.88</v>
      </c>
      <c r="F256" s="18">
        <f t="shared" si="7"/>
        <v>0</v>
      </c>
      <c r="G256" s="21" t="s">
        <v>110</v>
      </c>
    </row>
    <row r="257" spans="2:7" x14ac:dyDescent="0.2">
      <c r="B257" s="16" t="s">
        <v>361</v>
      </c>
      <c r="C257" s="17">
        <v>0</v>
      </c>
      <c r="D257" s="17">
        <v>20.239999999999998</v>
      </c>
      <c r="E257" s="17">
        <f t="shared" si="6"/>
        <v>20.239999999999998</v>
      </c>
      <c r="F257" s="18">
        <f t="shared" si="7"/>
        <v>0</v>
      </c>
      <c r="G257" s="21" t="s">
        <v>110</v>
      </c>
    </row>
    <row r="258" spans="2:7" x14ac:dyDescent="0.2">
      <c r="B258" s="16" t="s">
        <v>362</v>
      </c>
      <c r="C258" s="17">
        <v>38.630000000000003</v>
      </c>
      <c r="D258" s="17">
        <v>57.45</v>
      </c>
      <c r="E258" s="17">
        <f t="shared" ref="E258:E321" si="8">D258-C258</f>
        <v>18.82</v>
      </c>
      <c r="F258" s="18">
        <f t="shared" ref="F258:F321" si="9">IFERROR(E258/ABS(C258),0)</f>
        <v>0.4871861247734921</v>
      </c>
      <c r="G258" s="21" t="s">
        <v>103</v>
      </c>
    </row>
    <row r="259" spans="2:7" x14ac:dyDescent="0.2">
      <c r="B259" s="16" t="s">
        <v>363</v>
      </c>
      <c r="C259" s="17">
        <v>0</v>
      </c>
      <c r="D259" s="17">
        <v>17.8</v>
      </c>
      <c r="E259" s="17">
        <f t="shared" si="8"/>
        <v>17.8</v>
      </c>
      <c r="F259" s="18">
        <f t="shared" si="9"/>
        <v>0</v>
      </c>
      <c r="G259" s="21" t="s">
        <v>110</v>
      </c>
    </row>
    <row r="260" spans="2:7" x14ac:dyDescent="0.2">
      <c r="B260" s="16" t="s">
        <v>364</v>
      </c>
      <c r="C260" s="17">
        <v>0</v>
      </c>
      <c r="D260" s="17">
        <v>16.55</v>
      </c>
      <c r="E260" s="17">
        <f t="shared" si="8"/>
        <v>16.55</v>
      </c>
      <c r="F260" s="18">
        <f t="shared" si="9"/>
        <v>0</v>
      </c>
      <c r="G260" s="21" t="s">
        <v>110</v>
      </c>
    </row>
    <row r="261" spans="2:7" x14ac:dyDescent="0.2">
      <c r="B261" s="16" t="s">
        <v>365</v>
      </c>
      <c r="C261" s="17">
        <v>0</v>
      </c>
      <c r="D261" s="17">
        <v>12.02</v>
      </c>
      <c r="E261" s="17">
        <f t="shared" si="8"/>
        <v>12.02</v>
      </c>
      <c r="F261" s="18">
        <f t="shared" si="9"/>
        <v>0</v>
      </c>
      <c r="G261" s="21" t="s">
        <v>110</v>
      </c>
    </row>
    <row r="262" spans="2:7" x14ac:dyDescent="0.2">
      <c r="B262" s="16" t="s">
        <v>366</v>
      </c>
      <c r="C262" s="17">
        <v>125.4</v>
      </c>
      <c r="D262" s="17">
        <v>126.91</v>
      </c>
      <c r="E262" s="17">
        <f t="shared" si="8"/>
        <v>1.5099999999999909</v>
      </c>
      <c r="F262" s="18">
        <f t="shared" si="9"/>
        <v>1.2041467304625126E-2</v>
      </c>
      <c r="G262" s="21" t="s">
        <v>103</v>
      </c>
    </row>
    <row r="263" spans="2:7" x14ac:dyDescent="0.2">
      <c r="B263" s="16" t="s">
        <v>367</v>
      </c>
      <c r="C263" s="17">
        <v>1482.79</v>
      </c>
      <c r="D263" s="17">
        <v>1482.4</v>
      </c>
      <c r="E263" s="17">
        <f t="shared" si="8"/>
        <v>-0.38999999999987267</v>
      </c>
      <c r="F263" s="18">
        <f t="shared" si="9"/>
        <v>-2.6301768962555229E-4</v>
      </c>
      <c r="G263" s="22" t="s">
        <v>107</v>
      </c>
    </row>
    <row r="264" spans="2:7" x14ac:dyDescent="0.2">
      <c r="B264" s="16" t="s">
        <v>368</v>
      </c>
      <c r="C264" s="17">
        <v>0</v>
      </c>
      <c r="D264" s="17">
        <v>0</v>
      </c>
      <c r="E264" s="17">
        <f t="shared" si="8"/>
        <v>0</v>
      </c>
      <c r="F264" s="18">
        <f t="shared" si="9"/>
        <v>0</v>
      </c>
      <c r="G264" s="19" t="s">
        <v>369</v>
      </c>
    </row>
    <row r="265" spans="2:7" x14ac:dyDescent="0.2">
      <c r="B265" s="16" t="s">
        <v>370</v>
      </c>
      <c r="C265" s="17">
        <v>0</v>
      </c>
      <c r="D265" s="17">
        <v>0</v>
      </c>
      <c r="E265" s="17">
        <f t="shared" si="8"/>
        <v>0</v>
      </c>
      <c r="F265" s="18">
        <f t="shared" si="9"/>
        <v>0</v>
      </c>
      <c r="G265" s="19" t="s">
        <v>369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0"/>
  <sheetViews>
    <sheetView zoomScaleNormal="100" workbookViewId="0"/>
  </sheetViews>
  <sheetFormatPr baseColWidth="10" defaultColWidth="8.6640625" defaultRowHeight="15" customHeight="1" x14ac:dyDescent="0.2"/>
  <cols>
    <col min="1" max="1" width="2" customWidth="1"/>
    <col min="2" max="2" width="30" customWidth="1"/>
    <col min="3" max="7" width="14" customWidth="1"/>
  </cols>
  <sheetData>
    <row r="1" spans="1:7" x14ac:dyDescent="0.2">
      <c r="A1" s="15"/>
      <c r="B1" s="15" t="s">
        <v>98</v>
      </c>
      <c r="C1" s="15" t="s">
        <v>100</v>
      </c>
      <c r="D1" s="15" t="s">
        <v>371</v>
      </c>
      <c r="E1" s="15" t="s">
        <v>54</v>
      </c>
      <c r="F1" s="15" t="s">
        <v>55</v>
      </c>
      <c r="G1" s="15" t="s">
        <v>101</v>
      </c>
    </row>
    <row r="2" spans="1:7" x14ac:dyDescent="0.2">
      <c r="B2" s="16" t="s">
        <v>129</v>
      </c>
      <c r="C2" s="17">
        <v>46345.11</v>
      </c>
      <c r="D2" s="17">
        <v>477615.2</v>
      </c>
      <c r="E2" s="17">
        <f t="shared" ref="E2:E65" si="0">D2-C2</f>
        <v>431270.09</v>
      </c>
      <c r="F2" s="18">
        <f t="shared" ref="F2:F65" si="1">IFERROR(E2/ABS(C2),0)</f>
        <v>9.3056223191616123</v>
      </c>
      <c r="G2" s="21" t="s">
        <v>103</v>
      </c>
    </row>
    <row r="3" spans="1:7" x14ac:dyDescent="0.2">
      <c r="B3" s="16" t="s">
        <v>136</v>
      </c>
      <c r="C3" s="17">
        <v>11191.06</v>
      </c>
      <c r="D3" s="17">
        <v>147577.16</v>
      </c>
      <c r="E3" s="17">
        <f t="shared" si="0"/>
        <v>136386.1</v>
      </c>
      <c r="F3" s="18">
        <f t="shared" si="1"/>
        <v>12.187058241131762</v>
      </c>
      <c r="G3" s="21" t="s">
        <v>103</v>
      </c>
    </row>
    <row r="4" spans="1:7" x14ac:dyDescent="0.2">
      <c r="B4" s="16" t="s">
        <v>123</v>
      </c>
      <c r="C4" s="17">
        <v>73235.09</v>
      </c>
      <c r="D4" s="17">
        <v>179358.13</v>
      </c>
      <c r="E4" s="17">
        <f t="shared" si="0"/>
        <v>106123.04000000001</v>
      </c>
      <c r="F4" s="18">
        <f t="shared" si="1"/>
        <v>1.4490736612735782</v>
      </c>
      <c r="G4" s="21" t="s">
        <v>103</v>
      </c>
    </row>
    <row r="5" spans="1:7" x14ac:dyDescent="0.2">
      <c r="B5" s="16" t="s">
        <v>372</v>
      </c>
      <c r="C5" s="17">
        <v>0</v>
      </c>
      <c r="D5" s="17">
        <v>106096.79</v>
      </c>
      <c r="E5" s="17">
        <f t="shared" si="0"/>
        <v>106096.79</v>
      </c>
      <c r="F5" s="18">
        <f t="shared" si="1"/>
        <v>0</v>
      </c>
      <c r="G5" s="21" t="s">
        <v>110</v>
      </c>
    </row>
    <row r="6" spans="1:7" x14ac:dyDescent="0.2">
      <c r="B6" s="16" t="s">
        <v>111</v>
      </c>
      <c r="C6" s="17">
        <v>151917.15</v>
      </c>
      <c r="D6" s="17">
        <v>53196.84</v>
      </c>
      <c r="E6" s="17">
        <f t="shared" si="0"/>
        <v>-98720.31</v>
      </c>
      <c r="F6" s="18">
        <f t="shared" si="1"/>
        <v>-0.64982992374462001</v>
      </c>
      <c r="G6" s="22" t="s">
        <v>107</v>
      </c>
    </row>
    <row r="7" spans="1:7" x14ac:dyDescent="0.2">
      <c r="B7" s="16" t="s">
        <v>152</v>
      </c>
      <c r="C7" s="17">
        <v>472788.36</v>
      </c>
      <c r="D7" s="17">
        <v>394306.86</v>
      </c>
      <c r="E7" s="17">
        <f t="shared" si="0"/>
        <v>-78481.5</v>
      </c>
      <c r="F7" s="18">
        <f t="shared" si="1"/>
        <v>-0.16599710703537626</v>
      </c>
      <c r="G7" s="22" t="s">
        <v>107</v>
      </c>
    </row>
    <row r="8" spans="1:7" x14ac:dyDescent="0.2">
      <c r="B8" s="16" t="s">
        <v>109</v>
      </c>
      <c r="C8" s="17">
        <v>65972.45</v>
      </c>
      <c r="D8" s="17">
        <v>932.57</v>
      </c>
      <c r="E8" s="17">
        <f t="shared" si="0"/>
        <v>-65039.88</v>
      </c>
      <c r="F8" s="18">
        <f t="shared" si="1"/>
        <v>-0.98586425091079688</v>
      </c>
      <c r="G8" s="22" t="s">
        <v>107</v>
      </c>
    </row>
    <row r="9" spans="1:7" x14ac:dyDescent="0.2">
      <c r="B9" s="16" t="s">
        <v>373</v>
      </c>
      <c r="C9" s="17">
        <v>0</v>
      </c>
      <c r="D9" s="17">
        <v>61950.52</v>
      </c>
      <c r="E9" s="17">
        <f t="shared" si="0"/>
        <v>61950.52</v>
      </c>
      <c r="F9" s="18">
        <f t="shared" si="1"/>
        <v>0</v>
      </c>
      <c r="G9" s="21" t="s">
        <v>110</v>
      </c>
    </row>
    <row r="10" spans="1:7" x14ac:dyDescent="0.2">
      <c r="B10" s="16" t="s">
        <v>108</v>
      </c>
      <c r="C10" s="17">
        <v>205213.38</v>
      </c>
      <c r="D10" s="17">
        <v>266345.43</v>
      </c>
      <c r="E10" s="17">
        <f t="shared" si="0"/>
        <v>61132.049999999988</v>
      </c>
      <c r="F10" s="18">
        <f t="shared" si="1"/>
        <v>0.29789504953331986</v>
      </c>
      <c r="G10" s="21" t="s">
        <v>103</v>
      </c>
    </row>
    <row r="11" spans="1:7" x14ac:dyDescent="0.2">
      <c r="B11" s="16" t="s">
        <v>102</v>
      </c>
      <c r="C11" s="17">
        <v>356822.27</v>
      </c>
      <c r="D11" s="17">
        <v>297835.27</v>
      </c>
      <c r="E11" s="17">
        <f t="shared" si="0"/>
        <v>-58987</v>
      </c>
      <c r="F11" s="18">
        <f t="shared" si="1"/>
        <v>-0.16531199131713387</v>
      </c>
      <c r="G11" s="22" t="s">
        <v>107</v>
      </c>
    </row>
    <row r="12" spans="1:7" x14ac:dyDescent="0.2">
      <c r="B12" s="16" t="s">
        <v>112</v>
      </c>
      <c r="C12" s="17">
        <v>50554.69</v>
      </c>
      <c r="D12" s="17">
        <v>0</v>
      </c>
      <c r="E12" s="17">
        <f t="shared" si="0"/>
        <v>-50554.69</v>
      </c>
      <c r="F12" s="18">
        <f t="shared" si="1"/>
        <v>-1</v>
      </c>
      <c r="G12" s="22" t="s">
        <v>105</v>
      </c>
    </row>
    <row r="13" spans="1:7" x14ac:dyDescent="0.2">
      <c r="B13" s="16" t="s">
        <v>113</v>
      </c>
      <c r="C13" s="17">
        <v>50044.25</v>
      </c>
      <c r="D13" s="17">
        <v>0</v>
      </c>
      <c r="E13" s="17">
        <f t="shared" si="0"/>
        <v>-50044.25</v>
      </c>
      <c r="F13" s="18">
        <f t="shared" si="1"/>
        <v>-1</v>
      </c>
      <c r="G13" s="22" t="s">
        <v>105</v>
      </c>
    </row>
    <row r="14" spans="1:7" x14ac:dyDescent="0.2">
      <c r="B14" s="16" t="s">
        <v>374</v>
      </c>
      <c r="C14" s="17">
        <v>0</v>
      </c>
      <c r="D14" s="17">
        <v>42657.32</v>
      </c>
      <c r="E14" s="17">
        <f t="shared" si="0"/>
        <v>42657.32</v>
      </c>
      <c r="F14" s="18">
        <f t="shared" si="1"/>
        <v>0</v>
      </c>
      <c r="G14" s="21" t="s">
        <v>110</v>
      </c>
    </row>
    <row r="15" spans="1:7" x14ac:dyDescent="0.2">
      <c r="B15" s="16" t="s">
        <v>375</v>
      </c>
      <c r="C15" s="17">
        <v>0</v>
      </c>
      <c r="D15" s="17">
        <v>38421.71</v>
      </c>
      <c r="E15" s="17">
        <f t="shared" si="0"/>
        <v>38421.71</v>
      </c>
      <c r="F15" s="18">
        <f t="shared" si="1"/>
        <v>0</v>
      </c>
      <c r="G15" s="21" t="s">
        <v>110</v>
      </c>
    </row>
    <row r="16" spans="1:7" x14ac:dyDescent="0.2">
      <c r="B16" s="16" t="s">
        <v>117</v>
      </c>
      <c r="C16" s="17">
        <v>38602.129999999997</v>
      </c>
      <c r="D16" s="17">
        <v>4083.84</v>
      </c>
      <c r="E16" s="17">
        <f t="shared" si="0"/>
        <v>-34518.289999999994</v>
      </c>
      <c r="F16" s="18">
        <f t="shared" si="1"/>
        <v>-0.89420687407663768</v>
      </c>
      <c r="G16" s="22" t="s">
        <v>107</v>
      </c>
    </row>
    <row r="17" spans="2:7" x14ac:dyDescent="0.2">
      <c r="B17" s="16" t="s">
        <v>130</v>
      </c>
      <c r="C17" s="17">
        <v>27724.12</v>
      </c>
      <c r="D17" s="17">
        <v>0</v>
      </c>
      <c r="E17" s="17">
        <f t="shared" si="0"/>
        <v>-27724.12</v>
      </c>
      <c r="F17" s="18">
        <f t="shared" si="1"/>
        <v>-1</v>
      </c>
      <c r="G17" s="22" t="s">
        <v>105</v>
      </c>
    </row>
    <row r="18" spans="2:7" x14ac:dyDescent="0.2">
      <c r="B18" s="16" t="s">
        <v>124</v>
      </c>
      <c r="C18" s="17">
        <v>112604.4</v>
      </c>
      <c r="D18" s="17">
        <v>87556</v>
      </c>
      <c r="E18" s="17">
        <f t="shared" si="0"/>
        <v>-25048.399999999994</v>
      </c>
      <c r="F18" s="18">
        <f t="shared" si="1"/>
        <v>-0.22244601454294854</v>
      </c>
      <c r="G18" s="22" t="s">
        <v>107</v>
      </c>
    </row>
    <row r="19" spans="2:7" x14ac:dyDescent="0.2">
      <c r="B19" s="16" t="s">
        <v>376</v>
      </c>
      <c r="C19" s="17">
        <v>0</v>
      </c>
      <c r="D19" s="17">
        <v>24646.83</v>
      </c>
      <c r="E19" s="17">
        <f t="shared" si="0"/>
        <v>24646.83</v>
      </c>
      <c r="F19" s="18">
        <f t="shared" si="1"/>
        <v>0</v>
      </c>
      <c r="G19" s="21" t="s">
        <v>110</v>
      </c>
    </row>
    <row r="20" spans="2:7" x14ac:dyDescent="0.2">
      <c r="B20" s="16" t="s">
        <v>377</v>
      </c>
      <c r="C20" s="17">
        <v>0</v>
      </c>
      <c r="D20" s="17">
        <v>24440.93</v>
      </c>
      <c r="E20" s="17">
        <f t="shared" si="0"/>
        <v>24440.93</v>
      </c>
      <c r="F20" s="18">
        <f t="shared" si="1"/>
        <v>0</v>
      </c>
      <c r="G20" s="21" t="s">
        <v>110</v>
      </c>
    </row>
    <row r="21" spans="2:7" x14ac:dyDescent="0.2">
      <c r="B21" s="16" t="s">
        <v>115</v>
      </c>
      <c r="C21" s="17">
        <v>-12</v>
      </c>
      <c r="D21" s="17">
        <v>23926.1</v>
      </c>
      <c r="E21" s="17">
        <f t="shared" si="0"/>
        <v>23938.1</v>
      </c>
      <c r="F21" s="18">
        <f t="shared" si="1"/>
        <v>1994.8416666666665</v>
      </c>
      <c r="G21" s="21" t="s">
        <v>103</v>
      </c>
    </row>
    <row r="22" spans="2:7" x14ac:dyDescent="0.2">
      <c r="B22" s="16" t="s">
        <v>142</v>
      </c>
      <c r="C22" s="17">
        <v>34323.68</v>
      </c>
      <c r="D22" s="17">
        <v>57526.53</v>
      </c>
      <c r="E22" s="17">
        <f t="shared" si="0"/>
        <v>23202.85</v>
      </c>
      <c r="F22" s="18">
        <f t="shared" si="1"/>
        <v>0.67600123296802672</v>
      </c>
      <c r="G22" s="21" t="s">
        <v>103</v>
      </c>
    </row>
    <row r="23" spans="2:7" x14ac:dyDescent="0.2">
      <c r="B23" s="16" t="s">
        <v>189</v>
      </c>
      <c r="C23" s="17">
        <v>3325.49</v>
      </c>
      <c r="D23" s="17">
        <v>24476.33</v>
      </c>
      <c r="E23" s="17">
        <f t="shared" si="0"/>
        <v>21150.840000000004</v>
      </c>
      <c r="F23" s="18">
        <f t="shared" si="1"/>
        <v>6.3602175919939636</v>
      </c>
      <c r="G23" s="21" t="s">
        <v>103</v>
      </c>
    </row>
    <row r="24" spans="2:7" x14ac:dyDescent="0.2">
      <c r="B24" s="16" t="s">
        <v>122</v>
      </c>
      <c r="C24" s="17">
        <v>21092.43</v>
      </c>
      <c r="D24" s="17">
        <v>0</v>
      </c>
      <c r="E24" s="17">
        <f t="shared" si="0"/>
        <v>-21092.43</v>
      </c>
      <c r="F24" s="18">
        <f t="shared" si="1"/>
        <v>-1</v>
      </c>
      <c r="G24" s="22" t="s">
        <v>105</v>
      </c>
    </row>
    <row r="25" spans="2:7" x14ac:dyDescent="0.2">
      <c r="B25" s="16" t="s">
        <v>378</v>
      </c>
      <c r="C25" s="17">
        <v>0</v>
      </c>
      <c r="D25" s="17">
        <v>19173.14</v>
      </c>
      <c r="E25" s="17">
        <f t="shared" si="0"/>
        <v>19173.14</v>
      </c>
      <c r="F25" s="18">
        <f t="shared" si="1"/>
        <v>0</v>
      </c>
      <c r="G25" s="21" t="s">
        <v>110</v>
      </c>
    </row>
    <row r="26" spans="2:7" x14ac:dyDescent="0.2">
      <c r="B26" s="16" t="s">
        <v>127</v>
      </c>
      <c r="C26" s="17">
        <v>17685.05</v>
      </c>
      <c r="D26" s="17">
        <v>0</v>
      </c>
      <c r="E26" s="17">
        <f t="shared" si="0"/>
        <v>-17685.05</v>
      </c>
      <c r="F26" s="18">
        <f t="shared" si="1"/>
        <v>-1</v>
      </c>
      <c r="G26" s="22" t="s">
        <v>105</v>
      </c>
    </row>
    <row r="27" spans="2:7" x14ac:dyDescent="0.2">
      <c r="B27" s="16" t="s">
        <v>155</v>
      </c>
      <c r="C27" s="17">
        <v>34104.42</v>
      </c>
      <c r="D27" s="17">
        <v>51339.5</v>
      </c>
      <c r="E27" s="17">
        <f t="shared" si="0"/>
        <v>17235.080000000002</v>
      </c>
      <c r="F27" s="18">
        <f t="shared" si="1"/>
        <v>0.50536206157442354</v>
      </c>
      <c r="G27" s="21" t="s">
        <v>103</v>
      </c>
    </row>
    <row r="28" spans="2:7" x14ac:dyDescent="0.2">
      <c r="B28" s="16" t="s">
        <v>379</v>
      </c>
      <c r="C28" s="17">
        <v>0</v>
      </c>
      <c r="D28" s="17">
        <v>14739.85</v>
      </c>
      <c r="E28" s="17">
        <f t="shared" si="0"/>
        <v>14739.85</v>
      </c>
      <c r="F28" s="18">
        <f t="shared" si="1"/>
        <v>0</v>
      </c>
      <c r="G28" s="21" t="s">
        <v>110</v>
      </c>
    </row>
    <row r="29" spans="2:7" x14ac:dyDescent="0.2">
      <c r="B29" s="16" t="s">
        <v>380</v>
      </c>
      <c r="C29" s="17">
        <v>0</v>
      </c>
      <c r="D29" s="17">
        <v>13266.84</v>
      </c>
      <c r="E29" s="17">
        <f t="shared" si="0"/>
        <v>13266.84</v>
      </c>
      <c r="F29" s="18">
        <f t="shared" si="1"/>
        <v>0</v>
      </c>
      <c r="G29" s="21" t="s">
        <v>110</v>
      </c>
    </row>
    <row r="30" spans="2:7" x14ac:dyDescent="0.2">
      <c r="B30" s="16" t="s">
        <v>106</v>
      </c>
      <c r="C30" s="17">
        <v>56874.84</v>
      </c>
      <c r="D30" s="17">
        <v>44051.67</v>
      </c>
      <c r="E30" s="17">
        <f t="shared" si="0"/>
        <v>-12823.169999999998</v>
      </c>
      <c r="F30" s="18">
        <f t="shared" si="1"/>
        <v>-0.22546296393976667</v>
      </c>
      <c r="G30" s="22" t="s">
        <v>107</v>
      </c>
    </row>
    <row r="31" spans="2:7" x14ac:dyDescent="0.2">
      <c r="B31" s="16" t="s">
        <v>381</v>
      </c>
      <c r="C31" s="17">
        <v>0</v>
      </c>
      <c r="D31" s="17">
        <v>12406.23</v>
      </c>
      <c r="E31" s="17">
        <f t="shared" si="0"/>
        <v>12406.23</v>
      </c>
      <c r="F31" s="18">
        <f t="shared" si="1"/>
        <v>0</v>
      </c>
      <c r="G31" s="21" t="s">
        <v>110</v>
      </c>
    </row>
    <row r="32" spans="2:7" x14ac:dyDescent="0.2">
      <c r="B32" s="16" t="s">
        <v>163</v>
      </c>
      <c r="C32" s="17">
        <v>4612.99</v>
      </c>
      <c r="D32" s="17">
        <v>16833.98</v>
      </c>
      <c r="E32" s="17">
        <f t="shared" si="0"/>
        <v>12220.99</v>
      </c>
      <c r="F32" s="18">
        <f t="shared" si="1"/>
        <v>2.6492556888265528</v>
      </c>
      <c r="G32" s="21" t="s">
        <v>103</v>
      </c>
    </row>
    <row r="33" spans="2:7" x14ac:dyDescent="0.2">
      <c r="B33" s="16" t="s">
        <v>134</v>
      </c>
      <c r="C33" s="17">
        <v>12060.07</v>
      </c>
      <c r="D33" s="17">
        <v>0</v>
      </c>
      <c r="E33" s="17">
        <f t="shared" si="0"/>
        <v>-12060.07</v>
      </c>
      <c r="F33" s="18">
        <f t="shared" si="1"/>
        <v>-1</v>
      </c>
      <c r="G33" s="22" t="s">
        <v>105</v>
      </c>
    </row>
    <row r="34" spans="2:7" x14ac:dyDescent="0.2">
      <c r="B34" s="16" t="s">
        <v>295</v>
      </c>
      <c r="C34" s="17">
        <v>2223.29</v>
      </c>
      <c r="D34" s="17">
        <v>13788.7</v>
      </c>
      <c r="E34" s="17">
        <f t="shared" si="0"/>
        <v>11565.41</v>
      </c>
      <c r="F34" s="18">
        <f t="shared" si="1"/>
        <v>5.2019349702467963</v>
      </c>
      <c r="G34" s="21" t="s">
        <v>103</v>
      </c>
    </row>
    <row r="35" spans="2:7" x14ac:dyDescent="0.2">
      <c r="B35" s="16" t="s">
        <v>382</v>
      </c>
      <c r="C35" s="17">
        <v>0</v>
      </c>
      <c r="D35" s="17">
        <v>11172.54</v>
      </c>
      <c r="E35" s="17">
        <f t="shared" si="0"/>
        <v>11172.54</v>
      </c>
      <c r="F35" s="18">
        <f t="shared" si="1"/>
        <v>0</v>
      </c>
      <c r="G35" s="21" t="s">
        <v>110</v>
      </c>
    </row>
    <row r="36" spans="2:7" x14ac:dyDescent="0.2">
      <c r="B36" s="16" t="s">
        <v>116</v>
      </c>
      <c r="C36" s="17">
        <v>43523.34</v>
      </c>
      <c r="D36" s="17">
        <v>54401.35</v>
      </c>
      <c r="E36" s="17">
        <f t="shared" si="0"/>
        <v>10878.010000000002</v>
      </c>
      <c r="F36" s="18">
        <f t="shared" si="1"/>
        <v>0.24993509229760408</v>
      </c>
      <c r="G36" s="21" t="s">
        <v>103</v>
      </c>
    </row>
    <row r="37" spans="2:7" x14ac:dyDescent="0.2">
      <c r="B37" s="16" t="s">
        <v>383</v>
      </c>
      <c r="C37" s="17">
        <v>0</v>
      </c>
      <c r="D37" s="17">
        <v>9353.19</v>
      </c>
      <c r="E37" s="17">
        <f t="shared" si="0"/>
        <v>9353.19</v>
      </c>
      <c r="F37" s="18">
        <f t="shared" si="1"/>
        <v>0</v>
      </c>
      <c r="G37" s="21" t="s">
        <v>110</v>
      </c>
    </row>
    <row r="38" spans="2:7" x14ac:dyDescent="0.2">
      <c r="B38" s="16" t="s">
        <v>137</v>
      </c>
      <c r="C38" s="17">
        <v>10738.62</v>
      </c>
      <c r="D38" s="17">
        <v>1465.9</v>
      </c>
      <c r="E38" s="17">
        <f t="shared" si="0"/>
        <v>-9272.7200000000012</v>
      </c>
      <c r="F38" s="18">
        <f t="shared" si="1"/>
        <v>-0.86349270204178941</v>
      </c>
      <c r="G38" s="22" t="s">
        <v>107</v>
      </c>
    </row>
    <row r="39" spans="2:7" x14ac:dyDescent="0.2">
      <c r="B39" s="16" t="s">
        <v>161</v>
      </c>
      <c r="C39" s="17">
        <v>2059.5500000000002</v>
      </c>
      <c r="D39" s="17">
        <v>11052.15</v>
      </c>
      <c r="E39" s="17">
        <f t="shared" si="0"/>
        <v>8992.5999999999985</v>
      </c>
      <c r="F39" s="18">
        <f t="shared" si="1"/>
        <v>4.3662936078269512</v>
      </c>
      <c r="G39" s="21" t="s">
        <v>103</v>
      </c>
    </row>
    <row r="40" spans="2:7" x14ac:dyDescent="0.2">
      <c r="B40" s="16" t="s">
        <v>139</v>
      </c>
      <c r="C40" s="17">
        <v>9829.36</v>
      </c>
      <c r="D40" s="17">
        <v>1239.27</v>
      </c>
      <c r="E40" s="17">
        <f t="shared" si="0"/>
        <v>-8590.09</v>
      </c>
      <c r="F40" s="18">
        <f t="shared" si="1"/>
        <v>-0.87392159815084602</v>
      </c>
      <c r="G40" s="22" t="s">
        <v>107</v>
      </c>
    </row>
    <row r="41" spans="2:7" x14ac:dyDescent="0.2">
      <c r="B41" s="16" t="s">
        <v>141</v>
      </c>
      <c r="C41" s="17">
        <v>8047.35</v>
      </c>
      <c r="D41" s="17">
        <v>0</v>
      </c>
      <c r="E41" s="17">
        <f t="shared" si="0"/>
        <v>-8047.35</v>
      </c>
      <c r="F41" s="18">
        <f t="shared" si="1"/>
        <v>-1</v>
      </c>
      <c r="G41" s="22" t="s">
        <v>105</v>
      </c>
    </row>
    <row r="42" spans="2:7" x14ac:dyDescent="0.2">
      <c r="B42" s="16" t="s">
        <v>119</v>
      </c>
      <c r="C42" s="17">
        <v>21388.12</v>
      </c>
      <c r="D42" s="17">
        <v>13633.32</v>
      </c>
      <c r="E42" s="17">
        <f t="shared" si="0"/>
        <v>-7754.7999999999993</v>
      </c>
      <c r="F42" s="18">
        <f t="shared" si="1"/>
        <v>-0.36257511179103163</v>
      </c>
      <c r="G42" s="22" t="s">
        <v>107</v>
      </c>
    </row>
    <row r="43" spans="2:7" x14ac:dyDescent="0.2">
      <c r="B43" s="16" t="s">
        <v>143</v>
      </c>
      <c r="C43" s="17">
        <v>7731.76</v>
      </c>
      <c r="D43" s="17">
        <v>0</v>
      </c>
      <c r="E43" s="17">
        <f t="shared" si="0"/>
        <v>-7731.76</v>
      </c>
      <c r="F43" s="18">
        <f t="shared" si="1"/>
        <v>-1</v>
      </c>
      <c r="G43" s="22" t="s">
        <v>105</v>
      </c>
    </row>
    <row r="44" spans="2:7" x14ac:dyDescent="0.2">
      <c r="B44" s="16" t="s">
        <v>144</v>
      </c>
      <c r="C44" s="17">
        <v>7570.96</v>
      </c>
      <c r="D44" s="17">
        <v>0</v>
      </c>
      <c r="E44" s="17">
        <f t="shared" si="0"/>
        <v>-7570.96</v>
      </c>
      <c r="F44" s="18">
        <f t="shared" si="1"/>
        <v>-1</v>
      </c>
      <c r="G44" s="22" t="s">
        <v>105</v>
      </c>
    </row>
    <row r="45" spans="2:7" x14ac:dyDescent="0.2">
      <c r="B45" s="16" t="s">
        <v>241</v>
      </c>
      <c r="C45" s="17">
        <v>7585.83</v>
      </c>
      <c r="D45" s="17">
        <v>175.98</v>
      </c>
      <c r="E45" s="17">
        <f t="shared" si="0"/>
        <v>-7409.85</v>
      </c>
      <c r="F45" s="18">
        <f t="shared" si="1"/>
        <v>-0.97680148381917342</v>
      </c>
      <c r="G45" s="22" t="s">
        <v>107</v>
      </c>
    </row>
    <row r="46" spans="2:7" x14ac:dyDescent="0.2">
      <c r="B46" s="16" t="s">
        <v>384</v>
      </c>
      <c r="C46" s="17">
        <v>0</v>
      </c>
      <c r="D46" s="17">
        <v>7338.8</v>
      </c>
      <c r="E46" s="17">
        <f t="shared" si="0"/>
        <v>7338.8</v>
      </c>
      <c r="F46" s="18">
        <f t="shared" si="1"/>
        <v>0</v>
      </c>
      <c r="G46" s="21" t="s">
        <v>110</v>
      </c>
    </row>
    <row r="47" spans="2:7" x14ac:dyDescent="0.2">
      <c r="B47" s="16" t="s">
        <v>385</v>
      </c>
      <c r="C47" s="17">
        <v>0</v>
      </c>
      <c r="D47" s="17">
        <v>6709.96</v>
      </c>
      <c r="E47" s="17">
        <f t="shared" si="0"/>
        <v>6709.96</v>
      </c>
      <c r="F47" s="18">
        <f t="shared" si="1"/>
        <v>0</v>
      </c>
      <c r="G47" s="21" t="s">
        <v>110</v>
      </c>
    </row>
    <row r="48" spans="2:7" x14ac:dyDescent="0.2">
      <c r="B48" s="16" t="s">
        <v>149</v>
      </c>
      <c r="C48" s="17">
        <v>6954.64</v>
      </c>
      <c r="D48" s="17">
        <v>279.98</v>
      </c>
      <c r="E48" s="17">
        <f t="shared" si="0"/>
        <v>-6674.66</v>
      </c>
      <c r="F48" s="18">
        <f t="shared" si="1"/>
        <v>-0.95974198520699838</v>
      </c>
      <c r="G48" s="22" t="s">
        <v>107</v>
      </c>
    </row>
    <row r="49" spans="2:7" x14ac:dyDescent="0.2">
      <c r="B49" s="16" t="s">
        <v>164</v>
      </c>
      <c r="C49" s="17">
        <v>4819.0200000000004</v>
      </c>
      <c r="D49" s="17">
        <v>11491.82</v>
      </c>
      <c r="E49" s="17">
        <f t="shared" si="0"/>
        <v>6672.7999999999993</v>
      </c>
      <c r="F49" s="18">
        <f t="shared" si="1"/>
        <v>1.3846798726712066</v>
      </c>
      <c r="G49" s="21" t="s">
        <v>103</v>
      </c>
    </row>
    <row r="50" spans="2:7" x14ac:dyDescent="0.2">
      <c r="B50" s="16" t="s">
        <v>121</v>
      </c>
      <c r="C50" s="17">
        <v>6614.96</v>
      </c>
      <c r="D50" s="17">
        <v>0</v>
      </c>
      <c r="E50" s="17">
        <f t="shared" si="0"/>
        <v>-6614.96</v>
      </c>
      <c r="F50" s="18">
        <f t="shared" si="1"/>
        <v>-1</v>
      </c>
      <c r="G50" s="22" t="s">
        <v>105</v>
      </c>
    </row>
    <row r="51" spans="2:7" x14ac:dyDescent="0.2">
      <c r="B51" s="16" t="s">
        <v>151</v>
      </c>
      <c r="C51" s="17">
        <v>6614.94</v>
      </c>
      <c r="D51" s="17">
        <v>0</v>
      </c>
      <c r="E51" s="17">
        <f t="shared" si="0"/>
        <v>-6614.94</v>
      </c>
      <c r="F51" s="18">
        <f t="shared" si="1"/>
        <v>-1</v>
      </c>
      <c r="G51" s="22" t="s">
        <v>105</v>
      </c>
    </row>
    <row r="52" spans="2:7" x14ac:dyDescent="0.2">
      <c r="B52" s="16" t="s">
        <v>237</v>
      </c>
      <c r="C52" s="17">
        <v>6874.34</v>
      </c>
      <c r="D52" s="17">
        <v>353.11</v>
      </c>
      <c r="E52" s="17">
        <f t="shared" si="0"/>
        <v>-6521.2300000000005</v>
      </c>
      <c r="F52" s="18">
        <f t="shared" si="1"/>
        <v>-0.94863361428151649</v>
      </c>
      <c r="G52" s="22" t="s">
        <v>107</v>
      </c>
    </row>
    <row r="53" spans="2:7" x14ac:dyDescent="0.2">
      <c r="B53" s="16" t="s">
        <v>153</v>
      </c>
      <c r="C53" s="17">
        <v>6358.26</v>
      </c>
      <c r="D53" s="17">
        <v>0</v>
      </c>
      <c r="E53" s="17">
        <f t="shared" si="0"/>
        <v>-6358.26</v>
      </c>
      <c r="F53" s="18">
        <f t="shared" si="1"/>
        <v>-1</v>
      </c>
      <c r="G53" s="22" t="s">
        <v>105</v>
      </c>
    </row>
    <row r="54" spans="2:7" x14ac:dyDescent="0.2">
      <c r="B54" s="16" t="s">
        <v>386</v>
      </c>
      <c r="C54" s="17">
        <v>0</v>
      </c>
      <c r="D54" s="17">
        <v>6319.37</v>
      </c>
      <c r="E54" s="17">
        <f t="shared" si="0"/>
        <v>6319.37</v>
      </c>
      <c r="F54" s="18">
        <f t="shared" si="1"/>
        <v>0</v>
      </c>
      <c r="G54" s="21" t="s">
        <v>110</v>
      </c>
    </row>
    <row r="55" spans="2:7" x14ac:dyDescent="0.2">
      <c r="B55" s="16" t="s">
        <v>217</v>
      </c>
      <c r="C55" s="17">
        <v>14378.53</v>
      </c>
      <c r="D55" s="17">
        <v>8250.25</v>
      </c>
      <c r="E55" s="17">
        <f t="shared" si="0"/>
        <v>-6128.2800000000007</v>
      </c>
      <c r="F55" s="18">
        <f t="shared" si="1"/>
        <v>-0.42621046796856149</v>
      </c>
      <c r="G55" s="22" t="s">
        <v>107</v>
      </c>
    </row>
    <row r="56" spans="2:7" x14ac:dyDescent="0.2">
      <c r="B56" s="16" t="s">
        <v>387</v>
      </c>
      <c r="C56" s="17">
        <v>0</v>
      </c>
      <c r="D56" s="17">
        <v>6028.28</v>
      </c>
      <c r="E56" s="17">
        <f t="shared" si="0"/>
        <v>6028.28</v>
      </c>
      <c r="F56" s="18">
        <f t="shared" si="1"/>
        <v>0</v>
      </c>
      <c r="G56" s="21" t="s">
        <v>110</v>
      </c>
    </row>
    <row r="57" spans="2:7" x14ac:dyDescent="0.2">
      <c r="B57" s="16" t="s">
        <v>388</v>
      </c>
      <c r="C57" s="17">
        <v>0</v>
      </c>
      <c r="D57" s="17">
        <v>5983.97</v>
      </c>
      <c r="E57" s="17">
        <f t="shared" si="0"/>
        <v>5983.97</v>
      </c>
      <c r="F57" s="18">
        <f t="shared" si="1"/>
        <v>0</v>
      </c>
      <c r="G57" s="21" t="s">
        <v>110</v>
      </c>
    </row>
    <row r="58" spans="2:7" x14ac:dyDescent="0.2">
      <c r="B58" s="16" t="s">
        <v>389</v>
      </c>
      <c r="C58" s="17">
        <v>0</v>
      </c>
      <c r="D58" s="17">
        <v>5740.03</v>
      </c>
      <c r="E58" s="17">
        <f t="shared" si="0"/>
        <v>5740.03</v>
      </c>
      <c r="F58" s="18">
        <f t="shared" si="1"/>
        <v>0</v>
      </c>
      <c r="G58" s="21" t="s">
        <v>110</v>
      </c>
    </row>
    <row r="59" spans="2:7" x14ac:dyDescent="0.2">
      <c r="B59" s="16" t="s">
        <v>390</v>
      </c>
      <c r="C59" s="17">
        <v>0</v>
      </c>
      <c r="D59" s="17">
        <v>5394.86</v>
      </c>
      <c r="E59" s="17">
        <f t="shared" si="0"/>
        <v>5394.86</v>
      </c>
      <c r="F59" s="18">
        <f t="shared" si="1"/>
        <v>0</v>
      </c>
      <c r="G59" s="21" t="s">
        <v>110</v>
      </c>
    </row>
    <row r="60" spans="2:7" x14ac:dyDescent="0.2">
      <c r="B60" s="16" t="s">
        <v>157</v>
      </c>
      <c r="C60" s="17">
        <v>5412.25</v>
      </c>
      <c r="D60" s="17">
        <v>117.48</v>
      </c>
      <c r="E60" s="17">
        <f t="shared" si="0"/>
        <v>-5294.77</v>
      </c>
      <c r="F60" s="18">
        <f t="shared" si="1"/>
        <v>-0.97829368562058305</v>
      </c>
      <c r="G60" s="22" t="s">
        <v>107</v>
      </c>
    </row>
    <row r="61" spans="2:7" x14ac:dyDescent="0.2">
      <c r="B61" s="16" t="s">
        <v>391</v>
      </c>
      <c r="C61" s="17">
        <v>0</v>
      </c>
      <c r="D61" s="17">
        <v>5270.64</v>
      </c>
      <c r="E61" s="17">
        <f t="shared" si="0"/>
        <v>5270.64</v>
      </c>
      <c r="F61" s="18">
        <f t="shared" si="1"/>
        <v>0</v>
      </c>
      <c r="G61" s="21" t="s">
        <v>110</v>
      </c>
    </row>
    <row r="62" spans="2:7" x14ac:dyDescent="0.2">
      <c r="B62" s="16" t="s">
        <v>126</v>
      </c>
      <c r="C62" s="17">
        <v>10759.41</v>
      </c>
      <c r="D62" s="17">
        <v>5825.2</v>
      </c>
      <c r="E62" s="17">
        <f t="shared" si="0"/>
        <v>-4934.21</v>
      </c>
      <c r="F62" s="18">
        <f t="shared" si="1"/>
        <v>-0.45859484860229327</v>
      </c>
      <c r="G62" s="22" t="s">
        <v>107</v>
      </c>
    </row>
    <row r="63" spans="2:7" x14ac:dyDescent="0.2">
      <c r="B63" s="16" t="s">
        <v>209</v>
      </c>
      <c r="C63" s="17">
        <v>5362.52</v>
      </c>
      <c r="D63" s="17">
        <v>10000.68</v>
      </c>
      <c r="E63" s="17">
        <f t="shared" si="0"/>
        <v>4638.16</v>
      </c>
      <c r="F63" s="18">
        <f t="shared" si="1"/>
        <v>0.86492171590968414</v>
      </c>
      <c r="G63" s="21" t="s">
        <v>103</v>
      </c>
    </row>
    <row r="64" spans="2:7" x14ac:dyDescent="0.2">
      <c r="B64" s="16" t="s">
        <v>145</v>
      </c>
      <c r="C64" s="17">
        <v>12793.45</v>
      </c>
      <c r="D64" s="17">
        <v>8215.8700000000008</v>
      </c>
      <c r="E64" s="17">
        <f t="shared" si="0"/>
        <v>-4577.58</v>
      </c>
      <c r="F64" s="18">
        <f t="shared" si="1"/>
        <v>-0.35780653381222421</v>
      </c>
      <c r="G64" s="22" t="s">
        <v>107</v>
      </c>
    </row>
    <row r="65" spans="2:7" x14ac:dyDescent="0.2">
      <c r="B65" s="16" t="s">
        <v>218</v>
      </c>
      <c r="C65" s="17">
        <v>7088.88</v>
      </c>
      <c r="D65" s="17">
        <v>2592.33</v>
      </c>
      <c r="E65" s="17">
        <f t="shared" si="0"/>
        <v>-4496.55</v>
      </c>
      <c r="F65" s="18">
        <f t="shared" si="1"/>
        <v>-0.63431035650201439</v>
      </c>
      <c r="G65" s="22" t="s">
        <v>107</v>
      </c>
    </row>
    <row r="66" spans="2:7" x14ac:dyDescent="0.2">
      <c r="B66" s="16" t="s">
        <v>392</v>
      </c>
      <c r="C66" s="17">
        <v>0</v>
      </c>
      <c r="D66" s="17">
        <v>4454.59</v>
      </c>
      <c r="E66" s="17">
        <f t="shared" ref="E66:E129" si="2">D66-C66</f>
        <v>4454.59</v>
      </c>
      <c r="F66" s="18">
        <f t="shared" ref="F66:F129" si="3">IFERROR(E66/ABS(C66),0)</f>
        <v>0</v>
      </c>
      <c r="G66" s="21" t="s">
        <v>110</v>
      </c>
    </row>
    <row r="67" spans="2:7" x14ac:dyDescent="0.2">
      <c r="B67" s="16" t="s">
        <v>393</v>
      </c>
      <c r="C67" s="17">
        <v>0</v>
      </c>
      <c r="D67" s="17">
        <v>4353.6000000000004</v>
      </c>
      <c r="E67" s="17">
        <f t="shared" si="2"/>
        <v>4353.6000000000004</v>
      </c>
      <c r="F67" s="18">
        <f t="shared" si="3"/>
        <v>0</v>
      </c>
      <c r="G67" s="21" t="s">
        <v>110</v>
      </c>
    </row>
    <row r="68" spans="2:7" x14ac:dyDescent="0.2">
      <c r="B68" s="16" t="s">
        <v>179</v>
      </c>
      <c r="C68" s="17">
        <v>6818.86</v>
      </c>
      <c r="D68" s="17">
        <v>2469.25</v>
      </c>
      <c r="E68" s="17">
        <f t="shared" si="2"/>
        <v>-4349.6099999999997</v>
      </c>
      <c r="F68" s="18">
        <f t="shared" si="3"/>
        <v>-0.63787935226709447</v>
      </c>
      <c r="G68" s="22" t="s">
        <v>107</v>
      </c>
    </row>
    <row r="69" spans="2:7" x14ac:dyDescent="0.2">
      <c r="B69" s="16" t="s">
        <v>176</v>
      </c>
      <c r="C69" s="17">
        <v>0</v>
      </c>
      <c r="D69" s="17">
        <v>4279.57</v>
      </c>
      <c r="E69" s="17">
        <f t="shared" si="2"/>
        <v>4279.57</v>
      </c>
      <c r="F69" s="18">
        <f t="shared" si="3"/>
        <v>0</v>
      </c>
      <c r="G69" s="21" t="s">
        <v>110</v>
      </c>
    </row>
    <row r="70" spans="2:7" x14ac:dyDescent="0.2">
      <c r="B70" s="16" t="s">
        <v>187</v>
      </c>
      <c r="C70" s="17">
        <v>5344.99</v>
      </c>
      <c r="D70" s="17">
        <v>9613.5499999999993</v>
      </c>
      <c r="E70" s="17">
        <f t="shared" si="2"/>
        <v>4268.5599999999995</v>
      </c>
      <c r="F70" s="18">
        <f t="shared" si="3"/>
        <v>0.79860953902626564</v>
      </c>
      <c r="G70" s="21" t="s">
        <v>103</v>
      </c>
    </row>
    <row r="71" spans="2:7" x14ac:dyDescent="0.2">
      <c r="B71" s="16" t="s">
        <v>168</v>
      </c>
      <c r="C71" s="17">
        <v>4266.28</v>
      </c>
      <c r="D71" s="17">
        <v>0</v>
      </c>
      <c r="E71" s="17">
        <f t="shared" si="2"/>
        <v>-4266.28</v>
      </c>
      <c r="F71" s="18">
        <f t="shared" si="3"/>
        <v>-1</v>
      </c>
      <c r="G71" s="22" t="s">
        <v>105</v>
      </c>
    </row>
    <row r="72" spans="2:7" x14ac:dyDescent="0.2">
      <c r="B72" s="16" t="s">
        <v>214</v>
      </c>
      <c r="C72" s="17">
        <v>2559.98</v>
      </c>
      <c r="D72" s="17">
        <v>6710.78</v>
      </c>
      <c r="E72" s="17">
        <f t="shared" si="2"/>
        <v>4150.7999999999993</v>
      </c>
      <c r="F72" s="18">
        <f t="shared" si="3"/>
        <v>1.6214189173352913</v>
      </c>
      <c r="G72" s="21" t="s">
        <v>103</v>
      </c>
    </row>
    <row r="73" spans="2:7" x14ac:dyDescent="0.2">
      <c r="B73" s="16" t="s">
        <v>394</v>
      </c>
      <c r="C73" s="17">
        <v>0</v>
      </c>
      <c r="D73" s="17">
        <v>4026.65</v>
      </c>
      <c r="E73" s="17">
        <f t="shared" si="2"/>
        <v>4026.65</v>
      </c>
      <c r="F73" s="18">
        <f t="shared" si="3"/>
        <v>0</v>
      </c>
      <c r="G73" s="21" t="s">
        <v>110</v>
      </c>
    </row>
    <row r="74" spans="2:7" x14ac:dyDescent="0.2">
      <c r="B74" s="16" t="s">
        <v>140</v>
      </c>
      <c r="C74" s="17">
        <v>16381.89</v>
      </c>
      <c r="D74" s="17">
        <v>12397.24</v>
      </c>
      <c r="E74" s="17">
        <f t="shared" si="2"/>
        <v>-3984.6499999999996</v>
      </c>
      <c r="F74" s="18">
        <f t="shared" si="3"/>
        <v>-0.24323506017925892</v>
      </c>
      <c r="G74" s="22" t="s">
        <v>107</v>
      </c>
    </row>
    <row r="75" spans="2:7" x14ac:dyDescent="0.2">
      <c r="B75" s="16" t="s">
        <v>169</v>
      </c>
      <c r="C75" s="17">
        <v>4067.97</v>
      </c>
      <c r="D75" s="17">
        <v>100</v>
      </c>
      <c r="E75" s="17">
        <f t="shared" si="2"/>
        <v>-3967.97</v>
      </c>
      <c r="F75" s="18">
        <f t="shared" si="3"/>
        <v>-0.97541771448658665</v>
      </c>
      <c r="G75" s="22" t="s">
        <v>107</v>
      </c>
    </row>
    <row r="76" spans="2:7" x14ac:dyDescent="0.2">
      <c r="B76" s="16" t="s">
        <v>395</v>
      </c>
      <c r="C76" s="17">
        <v>0</v>
      </c>
      <c r="D76" s="17">
        <v>3959.78</v>
      </c>
      <c r="E76" s="17">
        <f t="shared" si="2"/>
        <v>3959.78</v>
      </c>
      <c r="F76" s="18">
        <f t="shared" si="3"/>
        <v>0</v>
      </c>
      <c r="G76" s="21" t="s">
        <v>110</v>
      </c>
    </row>
    <row r="77" spans="2:7" x14ac:dyDescent="0.2">
      <c r="B77" s="16" t="s">
        <v>175</v>
      </c>
      <c r="C77" s="17">
        <v>3930.74</v>
      </c>
      <c r="D77" s="17">
        <v>0</v>
      </c>
      <c r="E77" s="17">
        <f t="shared" si="2"/>
        <v>-3930.74</v>
      </c>
      <c r="F77" s="18">
        <f t="shared" si="3"/>
        <v>-1</v>
      </c>
      <c r="G77" s="22" t="s">
        <v>105</v>
      </c>
    </row>
    <row r="78" spans="2:7" x14ac:dyDescent="0.2">
      <c r="B78" s="16" t="s">
        <v>154</v>
      </c>
      <c r="C78" s="17">
        <v>5954.03</v>
      </c>
      <c r="D78" s="17">
        <v>9841.4599999999991</v>
      </c>
      <c r="E78" s="17">
        <f t="shared" si="2"/>
        <v>3887.4299999999994</v>
      </c>
      <c r="F78" s="18">
        <f t="shared" si="3"/>
        <v>0.65290735854538851</v>
      </c>
      <c r="G78" s="21" t="s">
        <v>103</v>
      </c>
    </row>
    <row r="79" spans="2:7" x14ac:dyDescent="0.2">
      <c r="B79" s="16" t="s">
        <v>252</v>
      </c>
      <c r="C79" s="17">
        <v>5263.85</v>
      </c>
      <c r="D79" s="17">
        <v>1536.83</v>
      </c>
      <c r="E79" s="17">
        <f t="shared" si="2"/>
        <v>-3727.0200000000004</v>
      </c>
      <c r="F79" s="18">
        <f t="shared" si="3"/>
        <v>-0.70804069264891667</v>
      </c>
      <c r="G79" s="22" t="s">
        <v>107</v>
      </c>
    </row>
    <row r="80" spans="2:7" x14ac:dyDescent="0.2">
      <c r="B80" s="16" t="s">
        <v>148</v>
      </c>
      <c r="C80" s="17">
        <v>23200.35</v>
      </c>
      <c r="D80" s="17">
        <v>19547.810000000001</v>
      </c>
      <c r="E80" s="17">
        <f t="shared" si="2"/>
        <v>-3652.5399999999972</v>
      </c>
      <c r="F80" s="18">
        <f t="shared" si="3"/>
        <v>-0.15743469387315268</v>
      </c>
      <c r="G80" s="22" t="s">
        <v>107</v>
      </c>
    </row>
    <row r="81" spans="2:7" x14ac:dyDescent="0.2">
      <c r="B81" s="16" t="s">
        <v>173</v>
      </c>
      <c r="C81" s="17">
        <v>4714.9399999999996</v>
      </c>
      <c r="D81" s="17">
        <v>8285.69</v>
      </c>
      <c r="E81" s="17">
        <f t="shared" si="2"/>
        <v>3570.7500000000009</v>
      </c>
      <c r="F81" s="18">
        <f t="shared" si="3"/>
        <v>0.75732671041413069</v>
      </c>
      <c r="G81" s="21" t="s">
        <v>103</v>
      </c>
    </row>
    <row r="82" spans="2:7" x14ac:dyDescent="0.2">
      <c r="B82" s="16" t="s">
        <v>396</v>
      </c>
      <c r="C82" s="17">
        <v>0</v>
      </c>
      <c r="D82" s="17">
        <v>3451.82</v>
      </c>
      <c r="E82" s="17">
        <f t="shared" si="2"/>
        <v>3451.82</v>
      </c>
      <c r="F82" s="18">
        <f t="shared" si="3"/>
        <v>0</v>
      </c>
      <c r="G82" s="21" t="s">
        <v>110</v>
      </c>
    </row>
    <row r="83" spans="2:7" x14ac:dyDescent="0.2">
      <c r="B83" s="16" t="s">
        <v>397</v>
      </c>
      <c r="C83" s="17">
        <v>0</v>
      </c>
      <c r="D83" s="17">
        <v>3427.84</v>
      </c>
      <c r="E83" s="17">
        <f t="shared" si="2"/>
        <v>3427.84</v>
      </c>
      <c r="F83" s="18">
        <f t="shared" si="3"/>
        <v>0</v>
      </c>
      <c r="G83" s="21" t="s">
        <v>110</v>
      </c>
    </row>
    <row r="84" spans="2:7" x14ac:dyDescent="0.2">
      <c r="B84" s="16" t="s">
        <v>233</v>
      </c>
      <c r="C84" s="17">
        <v>3353.48</v>
      </c>
      <c r="D84" s="17">
        <v>0</v>
      </c>
      <c r="E84" s="17">
        <f t="shared" si="2"/>
        <v>-3353.48</v>
      </c>
      <c r="F84" s="18">
        <f t="shared" si="3"/>
        <v>-1</v>
      </c>
      <c r="G84" s="22" t="s">
        <v>105</v>
      </c>
    </row>
    <row r="85" spans="2:7" x14ac:dyDescent="0.2">
      <c r="B85" s="16" t="s">
        <v>180</v>
      </c>
      <c r="C85" s="17">
        <v>3425.84</v>
      </c>
      <c r="D85" s="17">
        <v>82.49</v>
      </c>
      <c r="E85" s="17">
        <f t="shared" si="2"/>
        <v>-3343.3500000000004</v>
      </c>
      <c r="F85" s="18">
        <f t="shared" si="3"/>
        <v>-0.97592123391635344</v>
      </c>
      <c r="G85" s="22" t="s">
        <v>107</v>
      </c>
    </row>
    <row r="86" spans="2:7" x14ac:dyDescent="0.2">
      <c r="B86" s="16" t="s">
        <v>174</v>
      </c>
      <c r="C86" s="17">
        <v>3791.9</v>
      </c>
      <c r="D86" s="17">
        <v>465.49</v>
      </c>
      <c r="E86" s="17">
        <f t="shared" si="2"/>
        <v>-3326.41</v>
      </c>
      <c r="F86" s="18">
        <f t="shared" si="3"/>
        <v>-0.87724096099580684</v>
      </c>
      <c r="G86" s="22" t="s">
        <v>107</v>
      </c>
    </row>
    <row r="87" spans="2:7" x14ac:dyDescent="0.2">
      <c r="B87" s="16" t="s">
        <v>186</v>
      </c>
      <c r="C87" s="17">
        <v>3313.8</v>
      </c>
      <c r="D87" s="17">
        <v>0</v>
      </c>
      <c r="E87" s="17">
        <f t="shared" si="2"/>
        <v>-3313.8</v>
      </c>
      <c r="F87" s="18">
        <f t="shared" si="3"/>
        <v>-1</v>
      </c>
      <c r="G87" s="22" t="s">
        <v>105</v>
      </c>
    </row>
    <row r="88" spans="2:7" x14ac:dyDescent="0.2">
      <c r="B88" s="16" t="s">
        <v>138</v>
      </c>
      <c r="C88" s="17">
        <v>4048.29</v>
      </c>
      <c r="D88" s="17">
        <v>7283.39</v>
      </c>
      <c r="E88" s="17">
        <f t="shared" si="2"/>
        <v>3235.1000000000004</v>
      </c>
      <c r="F88" s="18">
        <f t="shared" si="3"/>
        <v>0.79912753285955318</v>
      </c>
      <c r="G88" s="21" t="s">
        <v>103</v>
      </c>
    </row>
    <row r="89" spans="2:7" x14ac:dyDescent="0.2">
      <c r="B89" s="16" t="s">
        <v>398</v>
      </c>
      <c r="C89" s="17">
        <v>0</v>
      </c>
      <c r="D89" s="17">
        <v>3191.89</v>
      </c>
      <c r="E89" s="17">
        <f t="shared" si="2"/>
        <v>3191.89</v>
      </c>
      <c r="F89" s="18">
        <f t="shared" si="3"/>
        <v>0</v>
      </c>
      <c r="G89" s="21" t="s">
        <v>110</v>
      </c>
    </row>
    <row r="90" spans="2:7" x14ac:dyDescent="0.2">
      <c r="B90" s="16" t="s">
        <v>399</v>
      </c>
      <c r="C90" s="17">
        <v>0</v>
      </c>
      <c r="D90" s="17">
        <v>3001.31</v>
      </c>
      <c r="E90" s="17">
        <f t="shared" si="2"/>
        <v>3001.31</v>
      </c>
      <c r="F90" s="18">
        <f t="shared" si="3"/>
        <v>0</v>
      </c>
      <c r="G90" s="21" t="s">
        <v>110</v>
      </c>
    </row>
    <row r="91" spans="2:7" x14ac:dyDescent="0.2">
      <c r="B91" s="16" t="s">
        <v>131</v>
      </c>
      <c r="C91" s="17">
        <v>14384.42</v>
      </c>
      <c r="D91" s="17">
        <v>17289.490000000002</v>
      </c>
      <c r="E91" s="17">
        <f t="shared" si="2"/>
        <v>2905.0700000000015</v>
      </c>
      <c r="F91" s="18">
        <f t="shared" si="3"/>
        <v>0.2019594811608672</v>
      </c>
      <c r="G91" s="21" t="s">
        <v>103</v>
      </c>
    </row>
    <row r="92" spans="2:7" x14ac:dyDescent="0.2">
      <c r="B92" s="16" t="s">
        <v>400</v>
      </c>
      <c r="C92" s="17">
        <v>0</v>
      </c>
      <c r="D92" s="17">
        <v>2792.25</v>
      </c>
      <c r="E92" s="17">
        <f t="shared" si="2"/>
        <v>2792.25</v>
      </c>
      <c r="F92" s="18">
        <f t="shared" si="3"/>
        <v>0</v>
      </c>
      <c r="G92" s="21" t="s">
        <v>110</v>
      </c>
    </row>
    <row r="93" spans="2:7" x14ac:dyDescent="0.2">
      <c r="B93" s="16" t="s">
        <v>222</v>
      </c>
      <c r="C93" s="17">
        <v>2576.5300000000002</v>
      </c>
      <c r="D93" s="17">
        <v>5358.99</v>
      </c>
      <c r="E93" s="17">
        <f t="shared" si="2"/>
        <v>2782.4599999999996</v>
      </c>
      <c r="F93" s="18">
        <f t="shared" si="3"/>
        <v>1.0799253259228494</v>
      </c>
      <c r="G93" s="21" t="s">
        <v>103</v>
      </c>
    </row>
    <row r="94" spans="2:7" x14ac:dyDescent="0.2">
      <c r="B94" s="16" t="s">
        <v>192</v>
      </c>
      <c r="C94" s="17">
        <v>2778.09</v>
      </c>
      <c r="D94" s="17">
        <v>0</v>
      </c>
      <c r="E94" s="17">
        <f t="shared" si="2"/>
        <v>-2778.09</v>
      </c>
      <c r="F94" s="18">
        <f t="shared" si="3"/>
        <v>-1</v>
      </c>
      <c r="G94" s="22" t="s">
        <v>105</v>
      </c>
    </row>
    <row r="95" spans="2:7" x14ac:dyDescent="0.2">
      <c r="B95" s="16" t="s">
        <v>156</v>
      </c>
      <c r="C95" s="17">
        <v>5609.47</v>
      </c>
      <c r="D95" s="17">
        <v>2862.11</v>
      </c>
      <c r="E95" s="17">
        <f t="shared" si="2"/>
        <v>-2747.36</v>
      </c>
      <c r="F95" s="18">
        <f t="shared" si="3"/>
        <v>-0.48977176096850505</v>
      </c>
      <c r="G95" s="22" t="s">
        <v>107</v>
      </c>
    </row>
    <row r="96" spans="2:7" x14ac:dyDescent="0.2">
      <c r="B96" s="16" t="s">
        <v>275</v>
      </c>
      <c r="C96" s="17">
        <v>1121.18</v>
      </c>
      <c r="D96" s="17">
        <v>3860.72</v>
      </c>
      <c r="E96" s="17">
        <f t="shared" si="2"/>
        <v>2739.54</v>
      </c>
      <c r="F96" s="18">
        <f t="shared" si="3"/>
        <v>2.4434435148682638</v>
      </c>
      <c r="G96" s="21" t="s">
        <v>103</v>
      </c>
    </row>
    <row r="97" spans="2:7" x14ac:dyDescent="0.2">
      <c r="B97" s="16" t="s">
        <v>182</v>
      </c>
      <c r="C97" s="17">
        <v>4781.72</v>
      </c>
      <c r="D97" s="17">
        <v>2083.98</v>
      </c>
      <c r="E97" s="17">
        <f t="shared" si="2"/>
        <v>-2697.7400000000002</v>
      </c>
      <c r="F97" s="18">
        <f t="shared" si="3"/>
        <v>-0.56417774357344219</v>
      </c>
      <c r="G97" s="22" t="s">
        <v>107</v>
      </c>
    </row>
    <row r="98" spans="2:7" x14ac:dyDescent="0.2">
      <c r="B98" s="16" t="s">
        <v>219</v>
      </c>
      <c r="C98" s="17">
        <v>0</v>
      </c>
      <c r="D98" s="17">
        <v>2681.61</v>
      </c>
      <c r="E98" s="17">
        <f t="shared" si="2"/>
        <v>2681.61</v>
      </c>
      <c r="F98" s="18">
        <f t="shared" si="3"/>
        <v>0</v>
      </c>
      <c r="G98" s="21" t="s">
        <v>110</v>
      </c>
    </row>
    <row r="99" spans="2:7" x14ac:dyDescent="0.2">
      <c r="B99" s="16" t="s">
        <v>194</v>
      </c>
      <c r="C99" s="17">
        <v>2616.64</v>
      </c>
      <c r="D99" s="17">
        <v>0</v>
      </c>
      <c r="E99" s="17">
        <f t="shared" si="2"/>
        <v>-2616.64</v>
      </c>
      <c r="F99" s="18">
        <f t="shared" si="3"/>
        <v>-1</v>
      </c>
      <c r="G99" s="22" t="s">
        <v>105</v>
      </c>
    </row>
    <row r="100" spans="2:7" x14ac:dyDescent="0.2">
      <c r="B100" s="16" t="s">
        <v>266</v>
      </c>
      <c r="C100" s="17">
        <v>2509.61</v>
      </c>
      <c r="D100" s="17">
        <v>0</v>
      </c>
      <c r="E100" s="17">
        <f t="shared" si="2"/>
        <v>-2509.61</v>
      </c>
      <c r="F100" s="18">
        <f t="shared" si="3"/>
        <v>-1</v>
      </c>
      <c r="G100" s="22" t="s">
        <v>105</v>
      </c>
    </row>
    <row r="101" spans="2:7" x14ac:dyDescent="0.2">
      <c r="B101" s="16" t="s">
        <v>401</v>
      </c>
      <c r="C101" s="17">
        <v>0</v>
      </c>
      <c r="D101" s="17">
        <v>2502.64</v>
      </c>
      <c r="E101" s="17">
        <f t="shared" si="2"/>
        <v>2502.64</v>
      </c>
      <c r="F101" s="18">
        <f t="shared" si="3"/>
        <v>0</v>
      </c>
      <c r="G101" s="21" t="s">
        <v>110</v>
      </c>
    </row>
    <row r="102" spans="2:7" x14ac:dyDescent="0.2">
      <c r="B102" s="16" t="s">
        <v>402</v>
      </c>
      <c r="C102" s="17">
        <v>0</v>
      </c>
      <c r="D102" s="17">
        <v>2500</v>
      </c>
      <c r="E102" s="17">
        <f t="shared" si="2"/>
        <v>2500</v>
      </c>
      <c r="F102" s="18">
        <f t="shared" si="3"/>
        <v>0</v>
      </c>
      <c r="G102" s="21" t="s">
        <v>110</v>
      </c>
    </row>
    <row r="103" spans="2:7" x14ac:dyDescent="0.2">
      <c r="B103" s="16" t="s">
        <v>178</v>
      </c>
      <c r="C103" s="17">
        <v>7284.99</v>
      </c>
      <c r="D103" s="17">
        <v>4823.76</v>
      </c>
      <c r="E103" s="17">
        <f t="shared" si="2"/>
        <v>-2461.2299999999996</v>
      </c>
      <c r="F103" s="18">
        <f t="shared" si="3"/>
        <v>-0.33784946856481612</v>
      </c>
      <c r="G103" s="22" t="s">
        <v>107</v>
      </c>
    </row>
    <row r="104" spans="2:7" x14ac:dyDescent="0.2">
      <c r="B104" s="16" t="s">
        <v>403</v>
      </c>
      <c r="C104" s="17">
        <v>0</v>
      </c>
      <c r="D104" s="17">
        <v>2400.0100000000002</v>
      </c>
      <c r="E104" s="17">
        <f t="shared" si="2"/>
        <v>2400.0100000000002</v>
      </c>
      <c r="F104" s="18">
        <f t="shared" si="3"/>
        <v>0</v>
      </c>
      <c r="G104" s="21" t="s">
        <v>110</v>
      </c>
    </row>
    <row r="105" spans="2:7" x14ac:dyDescent="0.2">
      <c r="B105" s="16" t="s">
        <v>404</v>
      </c>
      <c r="C105" s="17">
        <v>0</v>
      </c>
      <c r="D105" s="17">
        <v>2290.0700000000002</v>
      </c>
      <c r="E105" s="17">
        <f t="shared" si="2"/>
        <v>2290.0700000000002</v>
      </c>
      <c r="F105" s="18">
        <f t="shared" si="3"/>
        <v>0</v>
      </c>
      <c r="G105" s="21" t="s">
        <v>110</v>
      </c>
    </row>
    <row r="106" spans="2:7" x14ac:dyDescent="0.2">
      <c r="B106" s="16" t="s">
        <v>235</v>
      </c>
      <c r="C106" s="17">
        <v>2855.37</v>
      </c>
      <c r="D106" s="17">
        <v>596.16999999999996</v>
      </c>
      <c r="E106" s="17">
        <f t="shared" si="2"/>
        <v>-2259.1999999999998</v>
      </c>
      <c r="F106" s="18">
        <f t="shared" si="3"/>
        <v>-0.79121094639223633</v>
      </c>
      <c r="G106" s="22" t="s">
        <v>107</v>
      </c>
    </row>
    <row r="107" spans="2:7" x14ac:dyDescent="0.2">
      <c r="B107" s="16" t="s">
        <v>120</v>
      </c>
      <c r="C107" s="17">
        <v>2468.9699999999998</v>
      </c>
      <c r="D107" s="17">
        <v>218.76</v>
      </c>
      <c r="E107" s="17">
        <f t="shared" si="2"/>
        <v>-2250.21</v>
      </c>
      <c r="F107" s="18">
        <f t="shared" si="3"/>
        <v>-0.91139625025820492</v>
      </c>
      <c r="G107" s="22" t="s">
        <v>107</v>
      </c>
    </row>
    <row r="108" spans="2:7" x14ac:dyDescent="0.2">
      <c r="B108" s="16" t="s">
        <v>262</v>
      </c>
      <c r="C108" s="17">
        <v>839.03</v>
      </c>
      <c r="D108" s="17">
        <v>3081.9</v>
      </c>
      <c r="E108" s="17">
        <f t="shared" si="2"/>
        <v>2242.87</v>
      </c>
      <c r="F108" s="18">
        <f t="shared" si="3"/>
        <v>2.6731702084550015</v>
      </c>
      <c r="G108" s="21" t="s">
        <v>103</v>
      </c>
    </row>
    <row r="109" spans="2:7" x14ac:dyDescent="0.2">
      <c r="B109" s="16" t="s">
        <v>363</v>
      </c>
      <c r="C109" s="17">
        <v>17.8</v>
      </c>
      <c r="D109" s="17">
        <v>2237.85</v>
      </c>
      <c r="E109" s="17">
        <f t="shared" si="2"/>
        <v>2220.0499999999997</v>
      </c>
      <c r="F109" s="18">
        <f t="shared" si="3"/>
        <v>124.72191011235952</v>
      </c>
      <c r="G109" s="21" t="s">
        <v>103</v>
      </c>
    </row>
    <row r="110" spans="2:7" x14ac:dyDescent="0.2">
      <c r="B110" s="16" t="s">
        <v>405</v>
      </c>
      <c r="C110" s="17">
        <v>0</v>
      </c>
      <c r="D110" s="17">
        <v>2160.62</v>
      </c>
      <c r="E110" s="17">
        <f t="shared" si="2"/>
        <v>2160.62</v>
      </c>
      <c r="F110" s="18">
        <f t="shared" si="3"/>
        <v>0</v>
      </c>
      <c r="G110" s="21" t="s">
        <v>110</v>
      </c>
    </row>
    <row r="111" spans="2:7" x14ac:dyDescent="0.2">
      <c r="B111" s="16" t="s">
        <v>198</v>
      </c>
      <c r="C111" s="17">
        <v>2381.66</v>
      </c>
      <c r="D111" s="17">
        <v>223.9</v>
      </c>
      <c r="E111" s="17">
        <f t="shared" si="2"/>
        <v>-2157.7599999999998</v>
      </c>
      <c r="F111" s="18">
        <f t="shared" si="3"/>
        <v>-0.90598993978989439</v>
      </c>
      <c r="G111" s="22" t="s">
        <v>107</v>
      </c>
    </row>
    <row r="112" spans="2:7" x14ac:dyDescent="0.2">
      <c r="B112" s="16" t="s">
        <v>304</v>
      </c>
      <c r="C112" s="17">
        <v>2070.73</v>
      </c>
      <c r="D112" s="17">
        <v>0</v>
      </c>
      <c r="E112" s="17">
        <f t="shared" si="2"/>
        <v>-2070.73</v>
      </c>
      <c r="F112" s="18">
        <f t="shared" si="3"/>
        <v>-1</v>
      </c>
      <c r="G112" s="22" t="s">
        <v>105</v>
      </c>
    </row>
    <row r="113" spans="2:7" x14ac:dyDescent="0.2">
      <c r="B113" s="16" t="s">
        <v>255</v>
      </c>
      <c r="C113" s="17">
        <v>0</v>
      </c>
      <c r="D113" s="17">
        <v>2048.84</v>
      </c>
      <c r="E113" s="17">
        <f t="shared" si="2"/>
        <v>2048.84</v>
      </c>
      <c r="F113" s="18">
        <f t="shared" si="3"/>
        <v>0</v>
      </c>
      <c r="G113" s="21" t="s">
        <v>110</v>
      </c>
    </row>
    <row r="114" spans="2:7" x14ac:dyDescent="0.2">
      <c r="B114" s="16" t="s">
        <v>406</v>
      </c>
      <c r="C114" s="17">
        <v>0</v>
      </c>
      <c r="D114" s="17">
        <v>2031.97</v>
      </c>
      <c r="E114" s="17">
        <f t="shared" si="2"/>
        <v>2031.97</v>
      </c>
      <c r="F114" s="18">
        <f t="shared" si="3"/>
        <v>0</v>
      </c>
      <c r="G114" s="21" t="s">
        <v>110</v>
      </c>
    </row>
    <row r="115" spans="2:7" x14ac:dyDescent="0.2">
      <c r="B115" s="16" t="s">
        <v>172</v>
      </c>
      <c r="C115" s="17">
        <v>3857.99</v>
      </c>
      <c r="D115" s="17">
        <v>5880.36</v>
      </c>
      <c r="E115" s="17">
        <f t="shared" si="2"/>
        <v>2022.37</v>
      </c>
      <c r="F115" s="18">
        <f t="shared" si="3"/>
        <v>0.52420301763353461</v>
      </c>
      <c r="G115" s="21" t="s">
        <v>103</v>
      </c>
    </row>
    <row r="116" spans="2:7" x14ac:dyDescent="0.2">
      <c r="B116" s="16" t="s">
        <v>245</v>
      </c>
      <c r="C116" s="17">
        <v>3883.87</v>
      </c>
      <c r="D116" s="17">
        <v>1867.05</v>
      </c>
      <c r="E116" s="17">
        <f t="shared" si="2"/>
        <v>-2016.82</v>
      </c>
      <c r="F116" s="18">
        <f t="shared" si="3"/>
        <v>-0.51928102639892681</v>
      </c>
      <c r="G116" s="22" t="s">
        <v>107</v>
      </c>
    </row>
    <row r="117" spans="2:7" x14ac:dyDescent="0.2">
      <c r="B117" s="16" t="s">
        <v>281</v>
      </c>
      <c r="C117" s="17">
        <v>1991.54</v>
      </c>
      <c r="D117" s="17">
        <v>0</v>
      </c>
      <c r="E117" s="17">
        <f t="shared" si="2"/>
        <v>-1991.54</v>
      </c>
      <c r="F117" s="18">
        <f t="shared" si="3"/>
        <v>-1</v>
      </c>
      <c r="G117" s="22" t="s">
        <v>105</v>
      </c>
    </row>
    <row r="118" spans="2:7" x14ac:dyDescent="0.2">
      <c r="B118" s="16" t="s">
        <v>208</v>
      </c>
      <c r="C118" s="17">
        <v>1956.77</v>
      </c>
      <c r="D118" s="17">
        <v>0</v>
      </c>
      <c r="E118" s="17">
        <f t="shared" si="2"/>
        <v>-1956.77</v>
      </c>
      <c r="F118" s="18">
        <f t="shared" si="3"/>
        <v>-1</v>
      </c>
      <c r="G118" s="22" t="s">
        <v>105</v>
      </c>
    </row>
    <row r="119" spans="2:7" x14ac:dyDescent="0.2">
      <c r="B119" s="16" t="s">
        <v>407</v>
      </c>
      <c r="C119" s="17">
        <v>0</v>
      </c>
      <c r="D119" s="17">
        <v>1897.36</v>
      </c>
      <c r="E119" s="17">
        <f t="shared" si="2"/>
        <v>1897.36</v>
      </c>
      <c r="F119" s="18">
        <f t="shared" si="3"/>
        <v>0</v>
      </c>
      <c r="G119" s="21" t="s">
        <v>110</v>
      </c>
    </row>
    <row r="120" spans="2:7" x14ac:dyDescent="0.2">
      <c r="B120" s="16" t="s">
        <v>210</v>
      </c>
      <c r="C120" s="17">
        <v>1889.73</v>
      </c>
      <c r="D120" s="17">
        <v>0</v>
      </c>
      <c r="E120" s="17">
        <f t="shared" si="2"/>
        <v>-1889.73</v>
      </c>
      <c r="F120" s="18">
        <f t="shared" si="3"/>
        <v>-1</v>
      </c>
      <c r="G120" s="22" t="s">
        <v>105</v>
      </c>
    </row>
    <row r="121" spans="2:7" x14ac:dyDescent="0.2">
      <c r="B121" s="16" t="s">
        <v>104</v>
      </c>
      <c r="C121" s="17">
        <v>0</v>
      </c>
      <c r="D121" s="17">
        <v>1876.75</v>
      </c>
      <c r="E121" s="17">
        <f t="shared" si="2"/>
        <v>1876.75</v>
      </c>
      <c r="F121" s="18">
        <f t="shared" si="3"/>
        <v>0</v>
      </c>
      <c r="G121" s="21" t="s">
        <v>110</v>
      </c>
    </row>
    <row r="122" spans="2:7" x14ac:dyDescent="0.2">
      <c r="B122" s="16" t="s">
        <v>166</v>
      </c>
      <c r="C122" s="17">
        <v>0</v>
      </c>
      <c r="D122" s="17">
        <v>1864.23</v>
      </c>
      <c r="E122" s="17">
        <f t="shared" si="2"/>
        <v>1864.23</v>
      </c>
      <c r="F122" s="18">
        <f t="shared" si="3"/>
        <v>0</v>
      </c>
      <c r="G122" s="21" t="s">
        <v>110</v>
      </c>
    </row>
    <row r="123" spans="2:7" x14ac:dyDescent="0.2">
      <c r="B123" s="16" t="s">
        <v>408</v>
      </c>
      <c r="C123" s="17">
        <v>0</v>
      </c>
      <c r="D123" s="17">
        <v>1840.26</v>
      </c>
      <c r="E123" s="17">
        <f t="shared" si="2"/>
        <v>1840.26</v>
      </c>
      <c r="F123" s="18">
        <f t="shared" si="3"/>
        <v>0</v>
      </c>
      <c r="G123" s="21" t="s">
        <v>110</v>
      </c>
    </row>
    <row r="124" spans="2:7" x14ac:dyDescent="0.2">
      <c r="B124" s="16" t="s">
        <v>409</v>
      </c>
      <c r="C124" s="17">
        <v>0</v>
      </c>
      <c r="D124" s="17">
        <v>1815.11</v>
      </c>
      <c r="E124" s="17">
        <f t="shared" si="2"/>
        <v>1815.11</v>
      </c>
      <c r="F124" s="18">
        <f t="shared" si="3"/>
        <v>0</v>
      </c>
      <c r="G124" s="21" t="s">
        <v>110</v>
      </c>
    </row>
    <row r="125" spans="2:7" x14ac:dyDescent="0.2">
      <c r="B125" s="16" t="s">
        <v>410</v>
      </c>
      <c r="C125" s="17">
        <v>0</v>
      </c>
      <c r="D125" s="17">
        <v>1744.78</v>
      </c>
      <c r="E125" s="17">
        <f t="shared" si="2"/>
        <v>1744.78</v>
      </c>
      <c r="F125" s="18">
        <f t="shared" si="3"/>
        <v>0</v>
      </c>
      <c r="G125" s="21" t="s">
        <v>110</v>
      </c>
    </row>
    <row r="126" spans="2:7" x14ac:dyDescent="0.2">
      <c r="B126" s="16" t="s">
        <v>411</v>
      </c>
      <c r="C126" s="17">
        <v>0</v>
      </c>
      <c r="D126" s="17">
        <v>1743.53</v>
      </c>
      <c r="E126" s="17">
        <f t="shared" si="2"/>
        <v>1743.53</v>
      </c>
      <c r="F126" s="18">
        <f t="shared" si="3"/>
        <v>0</v>
      </c>
      <c r="G126" s="21" t="s">
        <v>110</v>
      </c>
    </row>
    <row r="127" spans="2:7" x14ac:dyDescent="0.2">
      <c r="B127" s="16" t="s">
        <v>290</v>
      </c>
      <c r="C127" s="17">
        <v>1673.25</v>
      </c>
      <c r="D127" s="17">
        <v>0</v>
      </c>
      <c r="E127" s="17">
        <f t="shared" si="2"/>
        <v>-1673.25</v>
      </c>
      <c r="F127" s="18">
        <f t="shared" si="3"/>
        <v>-1</v>
      </c>
      <c r="G127" s="22" t="s">
        <v>105</v>
      </c>
    </row>
    <row r="128" spans="2:7" x14ac:dyDescent="0.2">
      <c r="B128" s="16" t="s">
        <v>321</v>
      </c>
      <c r="C128" s="17">
        <v>1665.82</v>
      </c>
      <c r="D128" s="17">
        <v>0</v>
      </c>
      <c r="E128" s="17">
        <f t="shared" si="2"/>
        <v>-1665.82</v>
      </c>
      <c r="F128" s="18">
        <f t="shared" si="3"/>
        <v>-1</v>
      </c>
      <c r="G128" s="22" t="s">
        <v>105</v>
      </c>
    </row>
    <row r="129" spans="2:7" x14ac:dyDescent="0.2">
      <c r="B129" s="16" t="s">
        <v>330</v>
      </c>
      <c r="C129" s="17">
        <v>75</v>
      </c>
      <c r="D129" s="17">
        <v>1702.08</v>
      </c>
      <c r="E129" s="17">
        <f t="shared" si="2"/>
        <v>1627.08</v>
      </c>
      <c r="F129" s="18">
        <f t="shared" si="3"/>
        <v>21.694399999999998</v>
      </c>
      <c r="G129" s="21" t="s">
        <v>103</v>
      </c>
    </row>
    <row r="130" spans="2:7" x14ac:dyDescent="0.2">
      <c r="B130" s="16" t="s">
        <v>412</v>
      </c>
      <c r="C130" s="17">
        <v>0</v>
      </c>
      <c r="D130" s="17">
        <v>1624.58</v>
      </c>
      <c r="E130" s="17">
        <f t="shared" ref="E130:E193" si="4">D130-C130</f>
        <v>1624.58</v>
      </c>
      <c r="F130" s="18">
        <f t="shared" ref="F130:F193" si="5">IFERROR(E130/ABS(C130),0)</f>
        <v>0</v>
      </c>
      <c r="G130" s="21" t="s">
        <v>110</v>
      </c>
    </row>
    <row r="131" spans="2:7" x14ac:dyDescent="0.2">
      <c r="B131" s="16" t="s">
        <v>309</v>
      </c>
      <c r="C131" s="17">
        <v>138.77000000000001</v>
      </c>
      <c r="D131" s="17">
        <v>1762.85</v>
      </c>
      <c r="E131" s="17">
        <f t="shared" si="4"/>
        <v>1624.08</v>
      </c>
      <c r="F131" s="18">
        <f t="shared" si="5"/>
        <v>11.703394105354182</v>
      </c>
      <c r="G131" s="21" t="s">
        <v>103</v>
      </c>
    </row>
    <row r="132" spans="2:7" x14ac:dyDescent="0.2">
      <c r="B132" s="16" t="s">
        <v>215</v>
      </c>
      <c r="C132" s="17">
        <v>1576.78</v>
      </c>
      <c r="D132" s="17">
        <v>0</v>
      </c>
      <c r="E132" s="17">
        <f t="shared" si="4"/>
        <v>-1576.78</v>
      </c>
      <c r="F132" s="18">
        <f t="shared" si="5"/>
        <v>-1</v>
      </c>
      <c r="G132" s="22" t="s">
        <v>105</v>
      </c>
    </row>
    <row r="133" spans="2:7" x14ac:dyDescent="0.2">
      <c r="B133" s="16" t="s">
        <v>234</v>
      </c>
      <c r="C133" s="17">
        <v>2477.88</v>
      </c>
      <c r="D133" s="17">
        <v>902.14</v>
      </c>
      <c r="E133" s="17">
        <f t="shared" si="4"/>
        <v>-1575.7400000000002</v>
      </c>
      <c r="F133" s="18">
        <f t="shared" si="5"/>
        <v>-0.63592264355013162</v>
      </c>
      <c r="G133" s="22" t="s">
        <v>107</v>
      </c>
    </row>
    <row r="134" spans="2:7" x14ac:dyDescent="0.2">
      <c r="B134" s="16" t="s">
        <v>207</v>
      </c>
      <c r="C134" s="17">
        <v>1957.34</v>
      </c>
      <c r="D134" s="17">
        <v>433.53</v>
      </c>
      <c r="E134" s="17">
        <f t="shared" si="4"/>
        <v>-1523.81</v>
      </c>
      <c r="F134" s="18">
        <f t="shared" si="5"/>
        <v>-0.77851063177577728</v>
      </c>
      <c r="G134" s="22" t="s">
        <v>107</v>
      </c>
    </row>
    <row r="135" spans="2:7" x14ac:dyDescent="0.2">
      <c r="B135" s="16" t="s">
        <v>224</v>
      </c>
      <c r="C135" s="17">
        <v>1496.09</v>
      </c>
      <c r="D135" s="17">
        <v>0</v>
      </c>
      <c r="E135" s="17">
        <f t="shared" si="4"/>
        <v>-1496.09</v>
      </c>
      <c r="F135" s="18">
        <f t="shared" si="5"/>
        <v>-1</v>
      </c>
      <c r="G135" s="22" t="s">
        <v>105</v>
      </c>
    </row>
    <row r="136" spans="2:7" x14ac:dyDescent="0.2">
      <c r="B136" s="16" t="s">
        <v>413</v>
      </c>
      <c r="C136" s="17">
        <v>0</v>
      </c>
      <c r="D136" s="17">
        <v>1483.03</v>
      </c>
      <c r="E136" s="17">
        <f t="shared" si="4"/>
        <v>1483.03</v>
      </c>
      <c r="F136" s="18">
        <f t="shared" si="5"/>
        <v>0</v>
      </c>
      <c r="G136" s="21" t="s">
        <v>110</v>
      </c>
    </row>
    <row r="137" spans="2:7" x14ac:dyDescent="0.2">
      <c r="B137" s="16" t="s">
        <v>367</v>
      </c>
      <c r="C137" s="17">
        <v>1482.4</v>
      </c>
      <c r="D137" s="17">
        <v>0</v>
      </c>
      <c r="E137" s="17">
        <f t="shared" si="4"/>
        <v>-1482.4</v>
      </c>
      <c r="F137" s="18">
        <f t="shared" si="5"/>
        <v>-1</v>
      </c>
      <c r="G137" s="22" t="s">
        <v>105</v>
      </c>
    </row>
    <row r="138" spans="2:7" x14ac:dyDescent="0.2">
      <c r="B138" s="16" t="s">
        <v>414</v>
      </c>
      <c r="C138" s="17">
        <v>0</v>
      </c>
      <c r="D138" s="17">
        <v>1438.86</v>
      </c>
      <c r="E138" s="17">
        <f t="shared" si="4"/>
        <v>1438.86</v>
      </c>
      <c r="F138" s="18">
        <f t="shared" si="5"/>
        <v>0</v>
      </c>
      <c r="G138" s="21" t="s">
        <v>110</v>
      </c>
    </row>
    <row r="139" spans="2:7" x14ac:dyDescent="0.2">
      <c r="B139" s="16" t="s">
        <v>202</v>
      </c>
      <c r="C139" s="17">
        <v>7742.39</v>
      </c>
      <c r="D139" s="17">
        <v>6320.34</v>
      </c>
      <c r="E139" s="17">
        <f t="shared" si="4"/>
        <v>-1422.0500000000002</v>
      </c>
      <c r="F139" s="18">
        <f t="shared" si="5"/>
        <v>-0.18367067533410228</v>
      </c>
      <c r="G139" s="22" t="s">
        <v>107</v>
      </c>
    </row>
    <row r="140" spans="2:7" x14ac:dyDescent="0.2">
      <c r="B140" s="16" t="s">
        <v>204</v>
      </c>
      <c r="C140" s="17">
        <v>2057.08</v>
      </c>
      <c r="D140" s="17">
        <v>667.91</v>
      </c>
      <c r="E140" s="17">
        <f t="shared" si="4"/>
        <v>-1389.17</v>
      </c>
      <c r="F140" s="18">
        <f t="shared" si="5"/>
        <v>-0.67531160674353941</v>
      </c>
      <c r="G140" s="22" t="s">
        <v>107</v>
      </c>
    </row>
    <row r="141" spans="2:7" x14ac:dyDescent="0.2">
      <c r="B141" s="16" t="s">
        <v>231</v>
      </c>
      <c r="C141" s="17">
        <v>1322.09</v>
      </c>
      <c r="D141" s="17">
        <v>0</v>
      </c>
      <c r="E141" s="17">
        <f t="shared" si="4"/>
        <v>-1322.09</v>
      </c>
      <c r="F141" s="18">
        <f t="shared" si="5"/>
        <v>-1</v>
      </c>
      <c r="G141" s="22" t="s">
        <v>105</v>
      </c>
    </row>
    <row r="142" spans="2:7" x14ac:dyDescent="0.2">
      <c r="B142" s="16" t="s">
        <v>232</v>
      </c>
      <c r="C142" s="17">
        <v>0</v>
      </c>
      <c r="D142" s="17">
        <v>1310.72</v>
      </c>
      <c r="E142" s="17">
        <f t="shared" si="4"/>
        <v>1310.72</v>
      </c>
      <c r="F142" s="18">
        <f t="shared" si="5"/>
        <v>0</v>
      </c>
      <c r="G142" s="21" t="s">
        <v>110</v>
      </c>
    </row>
    <row r="143" spans="2:7" x14ac:dyDescent="0.2">
      <c r="B143" s="16" t="s">
        <v>167</v>
      </c>
      <c r="C143" s="17">
        <v>10926.41</v>
      </c>
      <c r="D143" s="17">
        <v>9666.92</v>
      </c>
      <c r="E143" s="17">
        <f t="shared" si="4"/>
        <v>-1259.4899999999998</v>
      </c>
      <c r="F143" s="18">
        <f t="shared" si="5"/>
        <v>-0.11527024887405835</v>
      </c>
      <c r="G143" s="22" t="s">
        <v>107</v>
      </c>
    </row>
    <row r="144" spans="2:7" x14ac:dyDescent="0.2">
      <c r="B144" s="16" t="s">
        <v>415</v>
      </c>
      <c r="C144" s="17">
        <v>0</v>
      </c>
      <c r="D144" s="17">
        <v>1232.98</v>
      </c>
      <c r="E144" s="17">
        <f t="shared" si="4"/>
        <v>1232.98</v>
      </c>
      <c r="F144" s="18">
        <f t="shared" si="5"/>
        <v>0</v>
      </c>
      <c r="G144" s="21" t="s">
        <v>110</v>
      </c>
    </row>
    <row r="145" spans="2:7" x14ac:dyDescent="0.2">
      <c r="B145" s="16" t="s">
        <v>205</v>
      </c>
      <c r="C145" s="17">
        <v>0</v>
      </c>
      <c r="D145" s="17">
        <v>1231.05</v>
      </c>
      <c r="E145" s="17">
        <f t="shared" si="4"/>
        <v>1231.05</v>
      </c>
      <c r="F145" s="18">
        <f t="shared" si="5"/>
        <v>0</v>
      </c>
      <c r="G145" s="21" t="s">
        <v>110</v>
      </c>
    </row>
    <row r="146" spans="2:7" x14ac:dyDescent="0.2">
      <c r="B146" s="16" t="s">
        <v>160</v>
      </c>
      <c r="C146" s="17">
        <v>19831.240000000002</v>
      </c>
      <c r="D146" s="17">
        <v>18650.75</v>
      </c>
      <c r="E146" s="17">
        <f t="shared" si="4"/>
        <v>-1180.4900000000016</v>
      </c>
      <c r="F146" s="18">
        <f t="shared" si="5"/>
        <v>-5.9526787028950361E-2</v>
      </c>
      <c r="G146" s="22" t="s">
        <v>107</v>
      </c>
    </row>
    <row r="147" spans="2:7" x14ac:dyDescent="0.2">
      <c r="B147" s="16" t="s">
        <v>242</v>
      </c>
      <c r="C147" s="17">
        <v>1156.0999999999999</v>
      </c>
      <c r="D147" s="17">
        <v>0</v>
      </c>
      <c r="E147" s="17">
        <f t="shared" si="4"/>
        <v>-1156.0999999999999</v>
      </c>
      <c r="F147" s="18">
        <f t="shared" si="5"/>
        <v>-1</v>
      </c>
      <c r="G147" s="22" t="s">
        <v>105</v>
      </c>
    </row>
    <row r="148" spans="2:7" x14ac:dyDescent="0.2">
      <c r="B148" s="16" t="s">
        <v>416</v>
      </c>
      <c r="C148" s="17">
        <v>0</v>
      </c>
      <c r="D148" s="17">
        <v>1110.44</v>
      </c>
      <c r="E148" s="17">
        <f t="shared" si="4"/>
        <v>1110.44</v>
      </c>
      <c r="F148" s="18">
        <f t="shared" si="5"/>
        <v>0</v>
      </c>
      <c r="G148" s="21" t="s">
        <v>110</v>
      </c>
    </row>
    <row r="149" spans="2:7" x14ac:dyDescent="0.2">
      <c r="B149" s="16" t="s">
        <v>244</v>
      </c>
      <c r="C149" s="17">
        <v>1100.6600000000001</v>
      </c>
      <c r="D149" s="17">
        <v>0</v>
      </c>
      <c r="E149" s="17">
        <f t="shared" si="4"/>
        <v>-1100.6600000000001</v>
      </c>
      <c r="F149" s="18">
        <f t="shared" si="5"/>
        <v>-1</v>
      </c>
      <c r="G149" s="22" t="s">
        <v>105</v>
      </c>
    </row>
    <row r="150" spans="2:7" x14ac:dyDescent="0.2">
      <c r="B150" s="16" t="s">
        <v>292</v>
      </c>
      <c r="C150" s="17">
        <v>0</v>
      </c>
      <c r="D150" s="17">
        <v>1099.4100000000001</v>
      </c>
      <c r="E150" s="17">
        <f t="shared" si="4"/>
        <v>1099.4100000000001</v>
      </c>
      <c r="F150" s="18">
        <f t="shared" si="5"/>
        <v>0</v>
      </c>
      <c r="G150" s="21" t="s">
        <v>110</v>
      </c>
    </row>
    <row r="151" spans="2:7" x14ac:dyDescent="0.2">
      <c r="B151" s="16" t="s">
        <v>170</v>
      </c>
      <c r="C151" s="17">
        <v>282.02999999999997</v>
      </c>
      <c r="D151" s="17">
        <v>1379.96</v>
      </c>
      <c r="E151" s="17">
        <f t="shared" si="4"/>
        <v>1097.93</v>
      </c>
      <c r="F151" s="18">
        <f t="shared" si="5"/>
        <v>3.8929546502145169</v>
      </c>
      <c r="G151" s="21" t="s">
        <v>103</v>
      </c>
    </row>
    <row r="152" spans="2:7" x14ac:dyDescent="0.2">
      <c r="B152" s="16" t="s">
        <v>354</v>
      </c>
      <c r="C152" s="17">
        <v>30</v>
      </c>
      <c r="D152" s="17">
        <v>1123.3699999999999</v>
      </c>
      <c r="E152" s="17">
        <f t="shared" si="4"/>
        <v>1093.3699999999999</v>
      </c>
      <c r="F152" s="18">
        <f t="shared" si="5"/>
        <v>36.445666666666661</v>
      </c>
      <c r="G152" s="21" t="s">
        <v>103</v>
      </c>
    </row>
    <row r="153" spans="2:7" x14ac:dyDescent="0.2">
      <c r="B153" s="16" t="s">
        <v>417</v>
      </c>
      <c r="C153" s="17">
        <v>0</v>
      </c>
      <c r="D153" s="17">
        <v>1081.6500000000001</v>
      </c>
      <c r="E153" s="17">
        <f t="shared" si="4"/>
        <v>1081.6500000000001</v>
      </c>
      <c r="F153" s="18">
        <f t="shared" si="5"/>
        <v>0</v>
      </c>
      <c r="G153" s="21" t="s">
        <v>110</v>
      </c>
    </row>
    <row r="154" spans="2:7" x14ac:dyDescent="0.2">
      <c r="B154" s="16" t="s">
        <v>246</v>
      </c>
      <c r="C154" s="17">
        <v>1040.3900000000001</v>
      </c>
      <c r="D154" s="17">
        <v>0</v>
      </c>
      <c r="E154" s="17">
        <f t="shared" si="4"/>
        <v>-1040.3900000000001</v>
      </c>
      <c r="F154" s="18">
        <f t="shared" si="5"/>
        <v>-1</v>
      </c>
      <c r="G154" s="22" t="s">
        <v>105</v>
      </c>
    </row>
    <row r="155" spans="2:7" x14ac:dyDescent="0.2">
      <c r="B155" s="16" t="s">
        <v>284</v>
      </c>
      <c r="C155" s="17">
        <v>1017.67</v>
      </c>
      <c r="D155" s="17">
        <v>0</v>
      </c>
      <c r="E155" s="17">
        <f t="shared" si="4"/>
        <v>-1017.67</v>
      </c>
      <c r="F155" s="18">
        <f t="shared" si="5"/>
        <v>-1</v>
      </c>
      <c r="G155" s="22" t="s">
        <v>105</v>
      </c>
    </row>
    <row r="156" spans="2:7" x14ac:dyDescent="0.2">
      <c r="B156" s="16" t="s">
        <v>247</v>
      </c>
      <c r="C156" s="17">
        <v>1013.79</v>
      </c>
      <c r="D156" s="17">
        <v>0</v>
      </c>
      <c r="E156" s="17">
        <f t="shared" si="4"/>
        <v>-1013.79</v>
      </c>
      <c r="F156" s="18">
        <f t="shared" si="5"/>
        <v>-1</v>
      </c>
      <c r="G156" s="22" t="s">
        <v>105</v>
      </c>
    </row>
    <row r="157" spans="2:7" x14ac:dyDescent="0.2">
      <c r="B157" s="16" t="s">
        <v>181</v>
      </c>
      <c r="C157" s="17">
        <v>2206.08</v>
      </c>
      <c r="D157" s="17">
        <v>1194.6400000000001</v>
      </c>
      <c r="E157" s="17">
        <f t="shared" si="4"/>
        <v>-1011.4399999999998</v>
      </c>
      <c r="F157" s="18">
        <f t="shared" si="5"/>
        <v>-0.4584783870031911</v>
      </c>
      <c r="G157" s="22" t="s">
        <v>107</v>
      </c>
    </row>
    <row r="158" spans="2:7" x14ac:dyDescent="0.2">
      <c r="B158" s="16" t="s">
        <v>230</v>
      </c>
      <c r="C158" s="17">
        <v>1335.9</v>
      </c>
      <c r="D158" s="17">
        <v>335.65</v>
      </c>
      <c r="E158" s="17">
        <f t="shared" si="4"/>
        <v>-1000.2500000000001</v>
      </c>
      <c r="F158" s="18">
        <f t="shared" si="5"/>
        <v>-0.74874616363500268</v>
      </c>
      <c r="G158" s="22" t="s">
        <v>107</v>
      </c>
    </row>
    <row r="159" spans="2:7" x14ac:dyDescent="0.2">
      <c r="B159" s="16" t="s">
        <v>190</v>
      </c>
      <c r="C159" s="17">
        <v>2955.71</v>
      </c>
      <c r="D159" s="17">
        <v>1965.78</v>
      </c>
      <c r="E159" s="17">
        <f t="shared" si="4"/>
        <v>-989.93000000000006</v>
      </c>
      <c r="F159" s="18">
        <f t="shared" si="5"/>
        <v>-0.33492122028209803</v>
      </c>
      <c r="G159" s="22" t="s">
        <v>107</v>
      </c>
    </row>
    <row r="160" spans="2:7" x14ac:dyDescent="0.2">
      <c r="B160" s="16" t="s">
        <v>250</v>
      </c>
      <c r="C160" s="17">
        <v>952.67</v>
      </c>
      <c r="D160" s="17">
        <v>0</v>
      </c>
      <c r="E160" s="17">
        <f t="shared" si="4"/>
        <v>-952.67</v>
      </c>
      <c r="F160" s="18">
        <f t="shared" si="5"/>
        <v>-1</v>
      </c>
      <c r="G160" s="22" t="s">
        <v>105</v>
      </c>
    </row>
    <row r="161" spans="2:7" x14ac:dyDescent="0.2">
      <c r="B161" s="16" t="s">
        <v>251</v>
      </c>
      <c r="C161" s="17">
        <v>949.58</v>
      </c>
      <c r="D161" s="17">
        <v>0</v>
      </c>
      <c r="E161" s="17">
        <f t="shared" si="4"/>
        <v>-949.58</v>
      </c>
      <c r="F161" s="18">
        <f t="shared" si="5"/>
        <v>-1</v>
      </c>
      <c r="G161" s="22" t="s">
        <v>105</v>
      </c>
    </row>
    <row r="162" spans="2:7" x14ac:dyDescent="0.2">
      <c r="B162" s="16" t="s">
        <v>225</v>
      </c>
      <c r="C162" s="17">
        <v>1402.14</v>
      </c>
      <c r="D162" s="17">
        <v>2312.09</v>
      </c>
      <c r="E162" s="17">
        <f t="shared" si="4"/>
        <v>909.95</v>
      </c>
      <c r="F162" s="18">
        <f t="shared" si="5"/>
        <v>0.6489722852211619</v>
      </c>
      <c r="G162" s="21" t="s">
        <v>103</v>
      </c>
    </row>
    <row r="163" spans="2:7" x14ac:dyDescent="0.2">
      <c r="B163" s="16" t="s">
        <v>418</v>
      </c>
      <c r="C163" s="17">
        <v>0</v>
      </c>
      <c r="D163" s="17">
        <v>855.6</v>
      </c>
      <c r="E163" s="17">
        <f t="shared" si="4"/>
        <v>855.6</v>
      </c>
      <c r="F163" s="18">
        <f t="shared" si="5"/>
        <v>0</v>
      </c>
      <c r="G163" s="21" t="s">
        <v>110</v>
      </c>
    </row>
    <row r="164" spans="2:7" x14ac:dyDescent="0.2">
      <c r="B164" s="16" t="s">
        <v>419</v>
      </c>
      <c r="C164" s="17">
        <v>0</v>
      </c>
      <c r="D164" s="17">
        <v>834.6</v>
      </c>
      <c r="E164" s="17">
        <f t="shared" si="4"/>
        <v>834.6</v>
      </c>
      <c r="F164" s="18">
        <f t="shared" si="5"/>
        <v>0</v>
      </c>
      <c r="G164" s="21" t="s">
        <v>110</v>
      </c>
    </row>
    <row r="165" spans="2:7" x14ac:dyDescent="0.2">
      <c r="B165" s="16" t="s">
        <v>420</v>
      </c>
      <c r="C165" s="17">
        <v>0</v>
      </c>
      <c r="D165" s="17">
        <v>820.9</v>
      </c>
      <c r="E165" s="17">
        <f t="shared" si="4"/>
        <v>820.9</v>
      </c>
      <c r="F165" s="18">
        <f t="shared" si="5"/>
        <v>0</v>
      </c>
      <c r="G165" s="21" t="s">
        <v>110</v>
      </c>
    </row>
    <row r="166" spans="2:7" x14ac:dyDescent="0.2">
      <c r="B166" s="16" t="s">
        <v>421</v>
      </c>
      <c r="C166" s="17">
        <v>0</v>
      </c>
      <c r="D166" s="17">
        <v>777.67</v>
      </c>
      <c r="E166" s="17">
        <f t="shared" si="4"/>
        <v>777.67</v>
      </c>
      <c r="F166" s="18">
        <f t="shared" si="5"/>
        <v>0</v>
      </c>
      <c r="G166" s="21" t="s">
        <v>110</v>
      </c>
    </row>
    <row r="167" spans="2:7" x14ac:dyDescent="0.2">
      <c r="B167" s="16" t="s">
        <v>268</v>
      </c>
      <c r="C167" s="17">
        <v>746.72</v>
      </c>
      <c r="D167" s="17">
        <v>0</v>
      </c>
      <c r="E167" s="17">
        <f t="shared" si="4"/>
        <v>-746.72</v>
      </c>
      <c r="F167" s="18">
        <f t="shared" si="5"/>
        <v>-1</v>
      </c>
      <c r="G167" s="22" t="s">
        <v>105</v>
      </c>
    </row>
    <row r="168" spans="2:7" x14ac:dyDescent="0.2">
      <c r="B168" s="16" t="s">
        <v>422</v>
      </c>
      <c r="C168" s="17">
        <v>0</v>
      </c>
      <c r="D168" s="17">
        <v>737.18</v>
      </c>
      <c r="E168" s="17">
        <f t="shared" si="4"/>
        <v>737.18</v>
      </c>
      <c r="F168" s="18">
        <f t="shared" si="5"/>
        <v>0</v>
      </c>
      <c r="G168" s="21" t="s">
        <v>110</v>
      </c>
    </row>
    <row r="169" spans="2:7" x14ac:dyDescent="0.2">
      <c r="B169" s="16" t="s">
        <v>184</v>
      </c>
      <c r="C169" s="17">
        <v>0</v>
      </c>
      <c r="D169" s="17">
        <v>723.33</v>
      </c>
      <c r="E169" s="17">
        <f t="shared" si="4"/>
        <v>723.33</v>
      </c>
      <c r="F169" s="18">
        <f t="shared" si="5"/>
        <v>0</v>
      </c>
      <c r="G169" s="21" t="s">
        <v>110</v>
      </c>
    </row>
    <row r="170" spans="2:7" x14ac:dyDescent="0.2">
      <c r="B170" s="16" t="s">
        <v>423</v>
      </c>
      <c r="C170" s="17">
        <v>0</v>
      </c>
      <c r="D170" s="17">
        <v>703.81</v>
      </c>
      <c r="E170" s="17">
        <f t="shared" si="4"/>
        <v>703.81</v>
      </c>
      <c r="F170" s="18">
        <f t="shared" si="5"/>
        <v>0</v>
      </c>
      <c r="G170" s="21" t="s">
        <v>110</v>
      </c>
    </row>
    <row r="171" spans="2:7" x14ac:dyDescent="0.2">
      <c r="B171" s="16" t="s">
        <v>185</v>
      </c>
      <c r="C171" s="17">
        <v>0</v>
      </c>
      <c r="D171" s="17">
        <v>699.76</v>
      </c>
      <c r="E171" s="17">
        <f t="shared" si="4"/>
        <v>699.76</v>
      </c>
      <c r="F171" s="18">
        <f t="shared" si="5"/>
        <v>0</v>
      </c>
      <c r="G171" s="21" t="s">
        <v>110</v>
      </c>
    </row>
    <row r="172" spans="2:7" x14ac:dyDescent="0.2">
      <c r="B172" s="16" t="s">
        <v>424</v>
      </c>
      <c r="C172" s="17">
        <v>0</v>
      </c>
      <c r="D172" s="17">
        <v>678.02</v>
      </c>
      <c r="E172" s="17">
        <f t="shared" si="4"/>
        <v>678.02</v>
      </c>
      <c r="F172" s="18">
        <f t="shared" si="5"/>
        <v>0</v>
      </c>
      <c r="G172" s="21" t="s">
        <v>110</v>
      </c>
    </row>
    <row r="173" spans="2:7" x14ac:dyDescent="0.2">
      <c r="B173" s="16" t="s">
        <v>273</v>
      </c>
      <c r="C173" s="17">
        <v>638.58000000000004</v>
      </c>
      <c r="D173" s="17">
        <v>0</v>
      </c>
      <c r="E173" s="17">
        <f t="shared" si="4"/>
        <v>-638.58000000000004</v>
      </c>
      <c r="F173" s="18">
        <f t="shared" si="5"/>
        <v>-1</v>
      </c>
      <c r="G173" s="22" t="s">
        <v>105</v>
      </c>
    </row>
    <row r="174" spans="2:7" x14ac:dyDescent="0.2">
      <c r="B174" s="16" t="s">
        <v>162</v>
      </c>
      <c r="C174" s="17">
        <v>627.11</v>
      </c>
      <c r="D174" s="17">
        <v>0</v>
      </c>
      <c r="E174" s="17">
        <f t="shared" si="4"/>
        <v>-627.11</v>
      </c>
      <c r="F174" s="18">
        <f t="shared" si="5"/>
        <v>-1</v>
      </c>
      <c r="G174" s="22" t="s">
        <v>105</v>
      </c>
    </row>
    <row r="175" spans="2:7" x14ac:dyDescent="0.2">
      <c r="B175" s="16" t="s">
        <v>425</v>
      </c>
      <c r="C175" s="17">
        <v>0</v>
      </c>
      <c r="D175" s="17">
        <v>626.42999999999995</v>
      </c>
      <c r="E175" s="17">
        <f t="shared" si="4"/>
        <v>626.42999999999995</v>
      </c>
      <c r="F175" s="18">
        <f t="shared" si="5"/>
        <v>0</v>
      </c>
      <c r="G175" s="21" t="s">
        <v>110</v>
      </c>
    </row>
    <row r="176" spans="2:7" x14ac:dyDescent="0.2">
      <c r="B176" s="16" t="s">
        <v>223</v>
      </c>
      <c r="C176" s="17">
        <v>0</v>
      </c>
      <c r="D176" s="17">
        <v>615.17999999999995</v>
      </c>
      <c r="E176" s="17">
        <f t="shared" si="4"/>
        <v>615.17999999999995</v>
      </c>
      <c r="F176" s="18">
        <f t="shared" si="5"/>
        <v>0</v>
      </c>
      <c r="G176" s="21" t="s">
        <v>110</v>
      </c>
    </row>
    <row r="177" spans="2:7" x14ac:dyDescent="0.2">
      <c r="B177" s="16" t="s">
        <v>125</v>
      </c>
      <c r="C177" s="17">
        <v>1573.17</v>
      </c>
      <c r="D177" s="17">
        <v>2183.42</v>
      </c>
      <c r="E177" s="17">
        <f t="shared" si="4"/>
        <v>610.25</v>
      </c>
      <c r="F177" s="18">
        <f t="shared" si="5"/>
        <v>0.38791103313691461</v>
      </c>
      <c r="G177" s="21" t="s">
        <v>103</v>
      </c>
    </row>
    <row r="178" spans="2:7" x14ac:dyDescent="0.2">
      <c r="B178" s="16" t="s">
        <v>426</v>
      </c>
      <c r="C178" s="17">
        <v>0</v>
      </c>
      <c r="D178" s="17">
        <v>605.52</v>
      </c>
      <c r="E178" s="17">
        <f t="shared" si="4"/>
        <v>605.52</v>
      </c>
      <c r="F178" s="18">
        <f t="shared" si="5"/>
        <v>0</v>
      </c>
      <c r="G178" s="21" t="s">
        <v>110</v>
      </c>
    </row>
    <row r="179" spans="2:7" x14ac:dyDescent="0.2">
      <c r="B179" s="16" t="s">
        <v>276</v>
      </c>
      <c r="C179" s="17">
        <v>598.32000000000005</v>
      </c>
      <c r="D179" s="17">
        <v>0</v>
      </c>
      <c r="E179" s="17">
        <f t="shared" si="4"/>
        <v>-598.32000000000005</v>
      </c>
      <c r="F179" s="18">
        <f t="shared" si="5"/>
        <v>-1</v>
      </c>
      <c r="G179" s="22" t="s">
        <v>105</v>
      </c>
    </row>
    <row r="180" spans="2:7" x14ac:dyDescent="0.2">
      <c r="B180" s="16" t="s">
        <v>193</v>
      </c>
      <c r="C180" s="17">
        <v>0</v>
      </c>
      <c r="D180" s="17">
        <v>583.34</v>
      </c>
      <c r="E180" s="17">
        <f t="shared" si="4"/>
        <v>583.34</v>
      </c>
      <c r="F180" s="18">
        <f t="shared" si="5"/>
        <v>0</v>
      </c>
      <c r="G180" s="21" t="s">
        <v>110</v>
      </c>
    </row>
    <row r="181" spans="2:7" x14ac:dyDescent="0.2">
      <c r="B181" s="16" t="s">
        <v>427</v>
      </c>
      <c r="C181" s="17">
        <v>0</v>
      </c>
      <c r="D181" s="17">
        <v>562.89</v>
      </c>
      <c r="E181" s="17">
        <f t="shared" si="4"/>
        <v>562.89</v>
      </c>
      <c r="F181" s="18">
        <f t="shared" si="5"/>
        <v>0</v>
      </c>
      <c r="G181" s="21" t="s">
        <v>110</v>
      </c>
    </row>
    <row r="182" spans="2:7" x14ac:dyDescent="0.2">
      <c r="B182" s="16" t="s">
        <v>428</v>
      </c>
      <c r="C182" s="17">
        <v>0</v>
      </c>
      <c r="D182" s="17">
        <v>559.71</v>
      </c>
      <c r="E182" s="17">
        <f t="shared" si="4"/>
        <v>559.71</v>
      </c>
      <c r="F182" s="18">
        <f t="shared" si="5"/>
        <v>0</v>
      </c>
      <c r="G182" s="21" t="s">
        <v>110</v>
      </c>
    </row>
    <row r="183" spans="2:7" x14ac:dyDescent="0.2">
      <c r="B183" s="16" t="s">
        <v>296</v>
      </c>
      <c r="C183" s="17">
        <v>320.45</v>
      </c>
      <c r="D183" s="17">
        <v>876.34</v>
      </c>
      <c r="E183" s="17">
        <f t="shared" si="4"/>
        <v>555.8900000000001</v>
      </c>
      <c r="F183" s="18">
        <f t="shared" si="5"/>
        <v>1.7347168044936812</v>
      </c>
      <c r="G183" s="21" t="s">
        <v>103</v>
      </c>
    </row>
    <row r="184" spans="2:7" x14ac:dyDescent="0.2">
      <c r="B184" s="16" t="s">
        <v>216</v>
      </c>
      <c r="C184" s="17">
        <v>1572.03</v>
      </c>
      <c r="D184" s="17">
        <v>1019</v>
      </c>
      <c r="E184" s="17">
        <f t="shared" si="4"/>
        <v>-553.03</v>
      </c>
      <c r="F184" s="18">
        <f t="shared" si="5"/>
        <v>-0.35179354083573466</v>
      </c>
      <c r="G184" s="22" t="s">
        <v>107</v>
      </c>
    </row>
    <row r="185" spans="2:7" x14ac:dyDescent="0.2">
      <c r="B185" s="16" t="s">
        <v>158</v>
      </c>
      <c r="C185" s="17">
        <v>13842.38</v>
      </c>
      <c r="D185" s="17">
        <v>14370.9</v>
      </c>
      <c r="E185" s="17">
        <f t="shared" si="4"/>
        <v>528.52000000000044</v>
      </c>
      <c r="F185" s="18">
        <f t="shared" si="5"/>
        <v>3.8181295413072067E-2</v>
      </c>
      <c r="G185" s="21" t="s">
        <v>103</v>
      </c>
    </row>
    <row r="186" spans="2:7" x14ac:dyDescent="0.2">
      <c r="B186" s="16" t="s">
        <v>146</v>
      </c>
      <c r="C186" s="17">
        <v>36.549999999999997</v>
      </c>
      <c r="D186" s="17">
        <v>559.67999999999995</v>
      </c>
      <c r="E186" s="17">
        <f t="shared" si="4"/>
        <v>523.13</v>
      </c>
      <c r="F186" s="18">
        <f t="shared" si="5"/>
        <v>14.312722298221615</v>
      </c>
      <c r="G186" s="21" t="s">
        <v>103</v>
      </c>
    </row>
    <row r="187" spans="2:7" x14ac:dyDescent="0.2">
      <c r="B187" s="16" t="s">
        <v>287</v>
      </c>
      <c r="C187" s="17">
        <v>513.16999999999996</v>
      </c>
      <c r="D187" s="17">
        <v>0</v>
      </c>
      <c r="E187" s="17">
        <f t="shared" si="4"/>
        <v>-513.16999999999996</v>
      </c>
      <c r="F187" s="18">
        <f t="shared" si="5"/>
        <v>-1</v>
      </c>
      <c r="G187" s="22" t="s">
        <v>105</v>
      </c>
    </row>
    <row r="188" spans="2:7" x14ac:dyDescent="0.2">
      <c r="B188" s="16" t="s">
        <v>429</v>
      </c>
      <c r="C188" s="17">
        <v>0</v>
      </c>
      <c r="D188" s="17">
        <v>507.84</v>
      </c>
      <c r="E188" s="17">
        <f t="shared" si="4"/>
        <v>507.84</v>
      </c>
      <c r="F188" s="18">
        <f t="shared" si="5"/>
        <v>0</v>
      </c>
      <c r="G188" s="21" t="s">
        <v>110</v>
      </c>
    </row>
    <row r="189" spans="2:7" x14ac:dyDescent="0.2">
      <c r="B189" s="16" t="s">
        <v>430</v>
      </c>
      <c r="C189" s="17">
        <v>0</v>
      </c>
      <c r="D189" s="17">
        <v>496.1</v>
      </c>
      <c r="E189" s="17">
        <f t="shared" si="4"/>
        <v>496.1</v>
      </c>
      <c r="F189" s="18">
        <f t="shared" si="5"/>
        <v>0</v>
      </c>
      <c r="G189" s="21" t="s">
        <v>110</v>
      </c>
    </row>
    <row r="190" spans="2:7" x14ac:dyDescent="0.2">
      <c r="B190" s="16" t="s">
        <v>197</v>
      </c>
      <c r="C190" s="17">
        <v>13343.78</v>
      </c>
      <c r="D190" s="17">
        <v>12853.18</v>
      </c>
      <c r="E190" s="17">
        <f t="shared" si="4"/>
        <v>-490.60000000000036</v>
      </c>
      <c r="F190" s="18">
        <f t="shared" si="5"/>
        <v>-3.6766193687246068E-2</v>
      </c>
      <c r="G190" s="22" t="s">
        <v>107</v>
      </c>
    </row>
    <row r="191" spans="2:7" x14ac:dyDescent="0.2">
      <c r="B191" s="16" t="s">
        <v>431</v>
      </c>
      <c r="C191" s="17">
        <v>0</v>
      </c>
      <c r="D191" s="17">
        <v>485.41</v>
      </c>
      <c r="E191" s="17">
        <f t="shared" si="4"/>
        <v>485.41</v>
      </c>
      <c r="F191" s="18">
        <f t="shared" si="5"/>
        <v>0</v>
      </c>
      <c r="G191" s="21" t="s">
        <v>110</v>
      </c>
    </row>
    <row r="192" spans="2:7" x14ac:dyDescent="0.2">
      <c r="B192" s="16" t="s">
        <v>188</v>
      </c>
      <c r="C192" s="17">
        <v>867.64</v>
      </c>
      <c r="D192" s="17">
        <v>384.55</v>
      </c>
      <c r="E192" s="17">
        <f t="shared" si="4"/>
        <v>-483.09</v>
      </c>
      <c r="F192" s="18">
        <f t="shared" si="5"/>
        <v>-0.55678622470148909</v>
      </c>
      <c r="G192" s="22" t="s">
        <v>107</v>
      </c>
    </row>
    <row r="193" spans="2:7" x14ac:dyDescent="0.2">
      <c r="B193" s="16" t="s">
        <v>293</v>
      </c>
      <c r="C193" s="17">
        <v>2993.13</v>
      </c>
      <c r="D193" s="17">
        <v>2511.4699999999998</v>
      </c>
      <c r="E193" s="17">
        <f t="shared" si="4"/>
        <v>-481.66000000000031</v>
      </c>
      <c r="F193" s="18">
        <f t="shared" si="5"/>
        <v>-0.16092184435691076</v>
      </c>
      <c r="G193" s="22" t="s">
        <v>107</v>
      </c>
    </row>
    <row r="194" spans="2:7" x14ac:dyDescent="0.2">
      <c r="B194" s="16" t="s">
        <v>432</v>
      </c>
      <c r="C194" s="17">
        <v>0</v>
      </c>
      <c r="D194" s="17">
        <v>477.18</v>
      </c>
      <c r="E194" s="17">
        <f t="shared" ref="E194:E257" si="6">D194-C194</f>
        <v>477.18</v>
      </c>
      <c r="F194" s="18">
        <f t="shared" ref="F194:F257" si="7">IFERROR(E194/ABS(C194),0)</f>
        <v>0</v>
      </c>
      <c r="G194" s="21" t="s">
        <v>110</v>
      </c>
    </row>
    <row r="195" spans="2:7" x14ac:dyDescent="0.2">
      <c r="B195" s="16" t="s">
        <v>433</v>
      </c>
      <c r="C195" s="17">
        <v>0</v>
      </c>
      <c r="D195" s="17">
        <v>428.21</v>
      </c>
      <c r="E195" s="17">
        <f t="shared" si="6"/>
        <v>428.21</v>
      </c>
      <c r="F195" s="18">
        <f t="shared" si="7"/>
        <v>0</v>
      </c>
      <c r="G195" s="21" t="s">
        <v>110</v>
      </c>
    </row>
    <row r="196" spans="2:7" x14ac:dyDescent="0.2">
      <c r="B196" s="16" t="s">
        <v>267</v>
      </c>
      <c r="C196" s="17">
        <v>649.41</v>
      </c>
      <c r="D196" s="17">
        <v>1072.3499999999999</v>
      </c>
      <c r="E196" s="17">
        <f t="shared" si="6"/>
        <v>422.93999999999994</v>
      </c>
      <c r="F196" s="18">
        <f t="shared" si="7"/>
        <v>0.65126807409802734</v>
      </c>
      <c r="G196" s="21" t="s">
        <v>103</v>
      </c>
    </row>
    <row r="197" spans="2:7" x14ac:dyDescent="0.2">
      <c r="B197" s="16" t="s">
        <v>434</v>
      </c>
      <c r="C197" s="17">
        <v>0</v>
      </c>
      <c r="D197" s="17">
        <v>405.5</v>
      </c>
      <c r="E197" s="17">
        <f t="shared" si="6"/>
        <v>405.5</v>
      </c>
      <c r="F197" s="18">
        <f t="shared" si="7"/>
        <v>0</v>
      </c>
      <c r="G197" s="21" t="s">
        <v>110</v>
      </c>
    </row>
    <row r="198" spans="2:7" x14ac:dyDescent="0.2">
      <c r="B198" s="16" t="s">
        <v>435</v>
      </c>
      <c r="C198" s="17">
        <v>0</v>
      </c>
      <c r="D198" s="17">
        <v>404.53</v>
      </c>
      <c r="E198" s="17">
        <f t="shared" si="6"/>
        <v>404.53</v>
      </c>
      <c r="F198" s="18">
        <f t="shared" si="7"/>
        <v>0</v>
      </c>
      <c r="G198" s="21" t="s">
        <v>110</v>
      </c>
    </row>
    <row r="199" spans="2:7" x14ac:dyDescent="0.2">
      <c r="B199" s="16" t="s">
        <v>436</v>
      </c>
      <c r="C199" s="17">
        <v>0</v>
      </c>
      <c r="D199" s="17">
        <v>398.31</v>
      </c>
      <c r="E199" s="17">
        <f t="shared" si="6"/>
        <v>398.31</v>
      </c>
      <c r="F199" s="18">
        <f t="shared" si="7"/>
        <v>0</v>
      </c>
      <c r="G199" s="21" t="s">
        <v>110</v>
      </c>
    </row>
    <row r="200" spans="2:7" x14ac:dyDescent="0.2">
      <c r="B200" s="16" t="s">
        <v>437</v>
      </c>
      <c r="C200" s="17">
        <v>0</v>
      </c>
      <c r="D200" s="17">
        <v>390.97</v>
      </c>
      <c r="E200" s="17">
        <f t="shared" si="6"/>
        <v>390.97</v>
      </c>
      <c r="F200" s="18">
        <f t="shared" si="7"/>
        <v>0</v>
      </c>
      <c r="G200" s="21" t="s">
        <v>110</v>
      </c>
    </row>
    <row r="201" spans="2:7" x14ac:dyDescent="0.2">
      <c r="B201" s="16" t="s">
        <v>316</v>
      </c>
      <c r="C201" s="17">
        <v>96.24</v>
      </c>
      <c r="D201" s="17">
        <v>481.2</v>
      </c>
      <c r="E201" s="17">
        <f t="shared" si="6"/>
        <v>384.96</v>
      </c>
      <c r="F201" s="18">
        <f t="shared" si="7"/>
        <v>4</v>
      </c>
      <c r="G201" s="21" t="s">
        <v>103</v>
      </c>
    </row>
    <row r="202" spans="2:7" x14ac:dyDescent="0.2">
      <c r="B202" s="16" t="s">
        <v>438</v>
      </c>
      <c r="C202" s="17">
        <v>0</v>
      </c>
      <c r="D202" s="17">
        <v>384.38</v>
      </c>
      <c r="E202" s="17">
        <f t="shared" si="6"/>
        <v>384.38</v>
      </c>
      <c r="F202" s="18">
        <f t="shared" si="7"/>
        <v>0</v>
      </c>
      <c r="G202" s="21" t="s">
        <v>110</v>
      </c>
    </row>
    <row r="203" spans="2:7" x14ac:dyDescent="0.2">
      <c r="B203" s="16" t="s">
        <v>200</v>
      </c>
      <c r="C203" s="17">
        <v>1948.03</v>
      </c>
      <c r="D203" s="17">
        <v>2332.31</v>
      </c>
      <c r="E203" s="17">
        <f t="shared" si="6"/>
        <v>384.28</v>
      </c>
      <c r="F203" s="18">
        <f t="shared" si="7"/>
        <v>0.19726595586310272</v>
      </c>
      <c r="G203" s="21" t="s">
        <v>103</v>
      </c>
    </row>
    <row r="204" spans="2:7" x14ac:dyDescent="0.2">
      <c r="B204" s="16" t="s">
        <v>289</v>
      </c>
      <c r="C204" s="17">
        <v>380.78</v>
      </c>
      <c r="D204" s="17">
        <v>0</v>
      </c>
      <c r="E204" s="17">
        <f t="shared" si="6"/>
        <v>-380.78</v>
      </c>
      <c r="F204" s="18">
        <f t="shared" si="7"/>
        <v>-1</v>
      </c>
      <c r="G204" s="22" t="s">
        <v>105</v>
      </c>
    </row>
    <row r="205" spans="2:7" x14ac:dyDescent="0.2">
      <c r="B205" s="16" t="s">
        <v>254</v>
      </c>
      <c r="C205" s="17">
        <v>1470.67</v>
      </c>
      <c r="D205" s="17">
        <v>1850.11</v>
      </c>
      <c r="E205" s="17">
        <f t="shared" si="6"/>
        <v>379.43999999999983</v>
      </c>
      <c r="F205" s="18">
        <f t="shared" si="7"/>
        <v>0.25800485493006575</v>
      </c>
      <c r="G205" s="21" t="s">
        <v>103</v>
      </c>
    </row>
    <row r="206" spans="2:7" x14ac:dyDescent="0.2">
      <c r="B206" s="16" t="s">
        <v>439</v>
      </c>
      <c r="C206" s="17">
        <v>0</v>
      </c>
      <c r="D206" s="17">
        <v>360.74</v>
      </c>
      <c r="E206" s="17">
        <f t="shared" si="6"/>
        <v>360.74</v>
      </c>
      <c r="F206" s="18">
        <f t="shared" si="7"/>
        <v>0</v>
      </c>
      <c r="G206" s="21" t="s">
        <v>110</v>
      </c>
    </row>
    <row r="207" spans="2:7" x14ac:dyDescent="0.2">
      <c r="B207" s="16" t="s">
        <v>291</v>
      </c>
      <c r="C207" s="17">
        <v>1157.72</v>
      </c>
      <c r="D207" s="17">
        <v>803.37</v>
      </c>
      <c r="E207" s="17">
        <f t="shared" si="6"/>
        <v>-354.35</v>
      </c>
      <c r="F207" s="18">
        <f t="shared" si="7"/>
        <v>-0.30607573506547353</v>
      </c>
      <c r="G207" s="22" t="s">
        <v>107</v>
      </c>
    </row>
    <row r="208" spans="2:7" x14ac:dyDescent="0.2">
      <c r="B208" s="16" t="s">
        <v>317</v>
      </c>
      <c r="C208" s="17">
        <v>95.83</v>
      </c>
      <c r="D208" s="17">
        <v>448.29</v>
      </c>
      <c r="E208" s="17">
        <f t="shared" si="6"/>
        <v>352.46000000000004</v>
      </c>
      <c r="F208" s="18">
        <f t="shared" si="7"/>
        <v>3.6779714077011381</v>
      </c>
      <c r="G208" s="21" t="s">
        <v>103</v>
      </c>
    </row>
    <row r="209" spans="2:7" x14ac:dyDescent="0.2">
      <c r="B209" s="16" t="s">
        <v>440</v>
      </c>
      <c r="C209" s="17">
        <v>0</v>
      </c>
      <c r="D209" s="17">
        <v>336.57</v>
      </c>
      <c r="E209" s="17">
        <f t="shared" si="6"/>
        <v>336.57</v>
      </c>
      <c r="F209" s="18">
        <f t="shared" si="7"/>
        <v>0</v>
      </c>
      <c r="G209" s="21" t="s">
        <v>110</v>
      </c>
    </row>
    <row r="210" spans="2:7" x14ac:dyDescent="0.2">
      <c r="B210" s="16" t="s">
        <v>294</v>
      </c>
      <c r="C210" s="17">
        <v>335</v>
      </c>
      <c r="D210" s="17">
        <v>0</v>
      </c>
      <c r="E210" s="17">
        <f t="shared" si="6"/>
        <v>-335</v>
      </c>
      <c r="F210" s="18">
        <f t="shared" si="7"/>
        <v>-1</v>
      </c>
      <c r="G210" s="22" t="s">
        <v>105</v>
      </c>
    </row>
    <row r="211" spans="2:7" x14ac:dyDescent="0.2">
      <c r="B211" s="16" t="s">
        <v>324</v>
      </c>
      <c r="C211" s="17">
        <v>82.19</v>
      </c>
      <c r="D211" s="17">
        <v>396.14</v>
      </c>
      <c r="E211" s="17">
        <f t="shared" si="6"/>
        <v>313.95</v>
      </c>
      <c r="F211" s="18">
        <f t="shared" si="7"/>
        <v>3.819807762501521</v>
      </c>
      <c r="G211" s="21" t="s">
        <v>103</v>
      </c>
    </row>
    <row r="212" spans="2:7" x14ac:dyDescent="0.2">
      <c r="B212" s="16" t="s">
        <v>201</v>
      </c>
      <c r="C212" s="17">
        <v>796.04</v>
      </c>
      <c r="D212" s="17">
        <v>1107.99</v>
      </c>
      <c r="E212" s="17">
        <f t="shared" si="6"/>
        <v>311.95000000000005</v>
      </c>
      <c r="F212" s="18">
        <f t="shared" si="7"/>
        <v>0.39187729259836196</v>
      </c>
      <c r="G212" s="21" t="s">
        <v>103</v>
      </c>
    </row>
    <row r="213" spans="2:7" x14ac:dyDescent="0.2">
      <c r="B213" s="16" t="s">
        <v>298</v>
      </c>
      <c r="C213" s="17">
        <v>302.22000000000003</v>
      </c>
      <c r="D213" s="17">
        <v>0</v>
      </c>
      <c r="E213" s="17">
        <f t="shared" si="6"/>
        <v>-302.22000000000003</v>
      </c>
      <c r="F213" s="18">
        <f t="shared" si="7"/>
        <v>-1</v>
      </c>
      <c r="G213" s="22" t="s">
        <v>105</v>
      </c>
    </row>
    <row r="214" spans="2:7" x14ac:dyDescent="0.2">
      <c r="B214" s="16" t="s">
        <v>351</v>
      </c>
      <c r="C214" s="17">
        <v>39.729999999999997</v>
      </c>
      <c r="D214" s="17">
        <v>337.39</v>
      </c>
      <c r="E214" s="17">
        <f t="shared" si="6"/>
        <v>297.65999999999997</v>
      </c>
      <c r="F214" s="18">
        <f t="shared" si="7"/>
        <v>7.4920714825069217</v>
      </c>
      <c r="G214" s="21" t="s">
        <v>103</v>
      </c>
    </row>
    <row r="215" spans="2:7" x14ac:dyDescent="0.2">
      <c r="B215" s="16" t="s">
        <v>311</v>
      </c>
      <c r="C215" s="17">
        <v>0</v>
      </c>
      <c r="D215" s="17">
        <v>293.24</v>
      </c>
      <c r="E215" s="17">
        <f t="shared" si="6"/>
        <v>293.24</v>
      </c>
      <c r="F215" s="18">
        <f t="shared" si="7"/>
        <v>0</v>
      </c>
      <c r="G215" s="21" t="s">
        <v>110</v>
      </c>
    </row>
    <row r="216" spans="2:7" x14ac:dyDescent="0.2">
      <c r="B216" s="16" t="s">
        <v>441</v>
      </c>
      <c r="C216" s="17">
        <v>0</v>
      </c>
      <c r="D216" s="17">
        <v>292.32</v>
      </c>
      <c r="E216" s="17">
        <f t="shared" si="6"/>
        <v>292.32</v>
      </c>
      <c r="F216" s="18">
        <f t="shared" si="7"/>
        <v>0</v>
      </c>
      <c r="G216" s="21" t="s">
        <v>110</v>
      </c>
    </row>
    <row r="217" spans="2:7" x14ac:dyDescent="0.2">
      <c r="B217" s="16" t="s">
        <v>442</v>
      </c>
      <c r="C217" s="17">
        <v>0</v>
      </c>
      <c r="D217" s="17">
        <v>289.72000000000003</v>
      </c>
      <c r="E217" s="17">
        <f t="shared" si="6"/>
        <v>289.72000000000003</v>
      </c>
      <c r="F217" s="18">
        <f t="shared" si="7"/>
        <v>0</v>
      </c>
      <c r="G217" s="21" t="s">
        <v>110</v>
      </c>
    </row>
    <row r="218" spans="2:7" x14ac:dyDescent="0.2">
      <c r="B218" s="16" t="s">
        <v>128</v>
      </c>
      <c r="C218" s="17">
        <v>0</v>
      </c>
      <c r="D218" s="17">
        <v>285.26</v>
      </c>
      <c r="E218" s="17">
        <f t="shared" si="6"/>
        <v>285.26</v>
      </c>
      <c r="F218" s="18">
        <f t="shared" si="7"/>
        <v>0</v>
      </c>
      <c r="G218" s="21" t="s">
        <v>110</v>
      </c>
    </row>
    <row r="219" spans="2:7" x14ac:dyDescent="0.2">
      <c r="B219" s="16" t="s">
        <v>280</v>
      </c>
      <c r="C219" s="17">
        <v>498.03</v>
      </c>
      <c r="D219" s="17">
        <v>775.83</v>
      </c>
      <c r="E219" s="17">
        <f t="shared" si="6"/>
        <v>277.80000000000007</v>
      </c>
      <c r="F219" s="18">
        <f t="shared" si="7"/>
        <v>0.55779772302873343</v>
      </c>
      <c r="G219" s="21" t="s">
        <v>103</v>
      </c>
    </row>
    <row r="220" spans="2:7" x14ac:dyDescent="0.2">
      <c r="B220" s="16" t="s">
        <v>365</v>
      </c>
      <c r="C220" s="17">
        <v>12.02</v>
      </c>
      <c r="D220" s="17">
        <v>289.08</v>
      </c>
      <c r="E220" s="17">
        <f t="shared" si="6"/>
        <v>277.06</v>
      </c>
      <c r="F220" s="18">
        <f t="shared" si="7"/>
        <v>23.049916805324461</v>
      </c>
      <c r="G220" s="21" t="s">
        <v>103</v>
      </c>
    </row>
    <row r="221" spans="2:7" x14ac:dyDescent="0.2">
      <c r="B221" s="16" t="s">
        <v>443</v>
      </c>
      <c r="C221" s="17">
        <v>0</v>
      </c>
      <c r="D221" s="17">
        <v>273.51</v>
      </c>
      <c r="E221" s="17">
        <f t="shared" si="6"/>
        <v>273.51</v>
      </c>
      <c r="F221" s="18">
        <f t="shared" si="7"/>
        <v>0</v>
      </c>
      <c r="G221" s="21" t="s">
        <v>110</v>
      </c>
    </row>
    <row r="222" spans="2:7" x14ac:dyDescent="0.2">
      <c r="B222" s="16" t="s">
        <v>444</v>
      </c>
      <c r="C222" s="17">
        <v>0</v>
      </c>
      <c r="D222" s="17">
        <v>267.49</v>
      </c>
      <c r="E222" s="17">
        <f t="shared" si="6"/>
        <v>267.49</v>
      </c>
      <c r="F222" s="18">
        <f t="shared" si="7"/>
        <v>0</v>
      </c>
      <c r="G222" s="21" t="s">
        <v>110</v>
      </c>
    </row>
    <row r="223" spans="2:7" x14ac:dyDescent="0.2">
      <c r="B223" s="16" t="s">
        <v>445</v>
      </c>
      <c r="C223" s="17">
        <v>0</v>
      </c>
      <c r="D223" s="17">
        <v>259.58</v>
      </c>
      <c r="E223" s="17">
        <f t="shared" si="6"/>
        <v>259.58</v>
      </c>
      <c r="F223" s="18">
        <f t="shared" si="7"/>
        <v>0</v>
      </c>
      <c r="G223" s="21" t="s">
        <v>110</v>
      </c>
    </row>
    <row r="224" spans="2:7" x14ac:dyDescent="0.2">
      <c r="B224" s="16" t="s">
        <v>322</v>
      </c>
      <c r="C224" s="17">
        <v>93.06</v>
      </c>
      <c r="D224" s="17">
        <v>338.3</v>
      </c>
      <c r="E224" s="17">
        <f t="shared" si="6"/>
        <v>245.24</v>
      </c>
      <c r="F224" s="18">
        <f t="shared" si="7"/>
        <v>2.6352890608209756</v>
      </c>
      <c r="G224" s="21" t="s">
        <v>103</v>
      </c>
    </row>
    <row r="225" spans="2:7" x14ac:dyDescent="0.2">
      <c r="B225" s="16" t="s">
        <v>265</v>
      </c>
      <c r="C225" s="17">
        <v>66.569999999999993</v>
      </c>
      <c r="D225" s="17">
        <v>311.76</v>
      </c>
      <c r="E225" s="17">
        <f t="shared" si="6"/>
        <v>245.19</v>
      </c>
      <c r="F225" s="18">
        <f t="shared" si="7"/>
        <v>3.6831906264082925</v>
      </c>
      <c r="G225" s="21" t="s">
        <v>103</v>
      </c>
    </row>
    <row r="226" spans="2:7" x14ac:dyDescent="0.2">
      <c r="B226" s="16" t="s">
        <v>302</v>
      </c>
      <c r="C226" s="17">
        <v>239.2</v>
      </c>
      <c r="D226" s="17">
        <v>0</v>
      </c>
      <c r="E226" s="17">
        <f t="shared" si="6"/>
        <v>-239.2</v>
      </c>
      <c r="F226" s="18">
        <f t="shared" si="7"/>
        <v>-1</v>
      </c>
      <c r="G226" s="22" t="s">
        <v>105</v>
      </c>
    </row>
    <row r="227" spans="2:7" x14ac:dyDescent="0.2">
      <c r="B227" s="16" t="s">
        <v>305</v>
      </c>
      <c r="C227" s="17">
        <v>255.72</v>
      </c>
      <c r="D227" s="17">
        <v>21</v>
      </c>
      <c r="E227" s="17">
        <f t="shared" si="6"/>
        <v>-234.72</v>
      </c>
      <c r="F227" s="18">
        <f t="shared" si="7"/>
        <v>-0.91787893007977472</v>
      </c>
      <c r="G227" s="22" t="s">
        <v>107</v>
      </c>
    </row>
    <row r="228" spans="2:7" x14ac:dyDescent="0.2">
      <c r="B228" s="16" t="s">
        <v>446</v>
      </c>
      <c r="C228" s="17">
        <v>0</v>
      </c>
      <c r="D228" s="17">
        <v>226.82</v>
      </c>
      <c r="E228" s="17">
        <f t="shared" si="6"/>
        <v>226.82</v>
      </c>
      <c r="F228" s="18">
        <f t="shared" si="7"/>
        <v>0</v>
      </c>
      <c r="G228" s="21" t="s">
        <v>110</v>
      </c>
    </row>
    <row r="229" spans="2:7" x14ac:dyDescent="0.2">
      <c r="B229" s="16" t="s">
        <v>220</v>
      </c>
      <c r="C229" s="17">
        <v>0</v>
      </c>
      <c r="D229" s="17">
        <v>223.73</v>
      </c>
      <c r="E229" s="17">
        <f t="shared" si="6"/>
        <v>223.73</v>
      </c>
      <c r="F229" s="18">
        <f t="shared" si="7"/>
        <v>0</v>
      </c>
      <c r="G229" s="21" t="s">
        <v>110</v>
      </c>
    </row>
    <row r="230" spans="2:7" x14ac:dyDescent="0.2">
      <c r="B230" s="16" t="s">
        <v>327</v>
      </c>
      <c r="C230" s="17">
        <v>79.03</v>
      </c>
      <c r="D230" s="17">
        <v>300.93</v>
      </c>
      <c r="E230" s="17">
        <f t="shared" si="6"/>
        <v>221.9</v>
      </c>
      <c r="F230" s="18">
        <f t="shared" si="7"/>
        <v>2.8077945084145264</v>
      </c>
      <c r="G230" s="21" t="s">
        <v>103</v>
      </c>
    </row>
    <row r="231" spans="2:7" x14ac:dyDescent="0.2">
      <c r="B231" s="16" t="s">
        <v>447</v>
      </c>
      <c r="C231" s="17">
        <v>0</v>
      </c>
      <c r="D231" s="17">
        <v>216.63</v>
      </c>
      <c r="E231" s="17">
        <f t="shared" si="6"/>
        <v>216.63</v>
      </c>
      <c r="F231" s="18">
        <f t="shared" si="7"/>
        <v>0</v>
      </c>
      <c r="G231" s="21" t="s">
        <v>110</v>
      </c>
    </row>
    <row r="232" spans="2:7" x14ac:dyDescent="0.2">
      <c r="B232" s="16" t="s">
        <v>448</v>
      </c>
      <c r="C232" s="17">
        <v>0</v>
      </c>
      <c r="D232" s="17">
        <v>212.15</v>
      </c>
      <c r="E232" s="17">
        <f t="shared" si="6"/>
        <v>212.15</v>
      </c>
      <c r="F232" s="18">
        <f t="shared" si="7"/>
        <v>0</v>
      </c>
      <c r="G232" s="21" t="s">
        <v>110</v>
      </c>
    </row>
    <row r="233" spans="2:7" x14ac:dyDescent="0.2">
      <c r="B233" s="16" t="s">
        <v>361</v>
      </c>
      <c r="C233" s="17">
        <v>20.239999999999998</v>
      </c>
      <c r="D233" s="17">
        <v>231.69</v>
      </c>
      <c r="E233" s="17">
        <f t="shared" si="6"/>
        <v>211.45</v>
      </c>
      <c r="F233" s="18">
        <f t="shared" si="7"/>
        <v>10.447134387351779</v>
      </c>
      <c r="G233" s="21" t="s">
        <v>103</v>
      </c>
    </row>
    <row r="234" spans="2:7" x14ac:dyDescent="0.2">
      <c r="B234" s="16" t="s">
        <v>348</v>
      </c>
      <c r="C234" s="17">
        <v>45.38</v>
      </c>
      <c r="D234" s="17">
        <v>245.88</v>
      </c>
      <c r="E234" s="17">
        <f t="shared" si="6"/>
        <v>200.5</v>
      </c>
      <c r="F234" s="18">
        <f t="shared" si="7"/>
        <v>4.4182459233142355</v>
      </c>
      <c r="G234" s="21" t="s">
        <v>103</v>
      </c>
    </row>
    <row r="235" spans="2:7" x14ac:dyDescent="0.2">
      <c r="B235" s="16" t="s">
        <v>360</v>
      </c>
      <c r="C235" s="17">
        <v>20.88</v>
      </c>
      <c r="D235" s="17">
        <v>216.6</v>
      </c>
      <c r="E235" s="17">
        <f t="shared" si="6"/>
        <v>195.72</v>
      </c>
      <c r="F235" s="18">
        <f t="shared" si="7"/>
        <v>9.3735632183908049</v>
      </c>
      <c r="G235" s="21" t="s">
        <v>103</v>
      </c>
    </row>
    <row r="236" spans="2:7" x14ac:dyDescent="0.2">
      <c r="B236" s="16" t="s">
        <v>325</v>
      </c>
      <c r="C236" s="17">
        <v>81.319999999999993</v>
      </c>
      <c r="D236" s="17">
        <v>273.27999999999997</v>
      </c>
      <c r="E236" s="17">
        <f t="shared" si="6"/>
        <v>191.95999999999998</v>
      </c>
      <c r="F236" s="18">
        <f t="shared" si="7"/>
        <v>2.3605509099852435</v>
      </c>
      <c r="G236" s="21" t="s">
        <v>103</v>
      </c>
    </row>
    <row r="237" spans="2:7" x14ac:dyDescent="0.2">
      <c r="B237" s="16" t="s">
        <v>364</v>
      </c>
      <c r="C237" s="17">
        <v>16.55</v>
      </c>
      <c r="D237" s="17">
        <v>205.26</v>
      </c>
      <c r="E237" s="17">
        <f t="shared" si="6"/>
        <v>188.70999999999998</v>
      </c>
      <c r="F237" s="18">
        <f t="shared" si="7"/>
        <v>11.402416918429001</v>
      </c>
      <c r="G237" s="21" t="s">
        <v>103</v>
      </c>
    </row>
    <row r="238" spans="2:7" x14ac:dyDescent="0.2">
      <c r="B238" s="16" t="s">
        <v>449</v>
      </c>
      <c r="C238" s="17">
        <v>0</v>
      </c>
      <c r="D238" s="17">
        <v>185.28</v>
      </c>
      <c r="E238" s="17">
        <f t="shared" si="6"/>
        <v>185.28</v>
      </c>
      <c r="F238" s="18">
        <f t="shared" si="7"/>
        <v>0</v>
      </c>
      <c r="G238" s="21" t="s">
        <v>110</v>
      </c>
    </row>
    <row r="239" spans="2:7" x14ac:dyDescent="0.2">
      <c r="B239" s="16" t="s">
        <v>159</v>
      </c>
      <c r="C239" s="17">
        <v>182.45</v>
      </c>
      <c r="D239" s="17">
        <v>0</v>
      </c>
      <c r="E239" s="17">
        <f t="shared" si="6"/>
        <v>-182.45</v>
      </c>
      <c r="F239" s="18">
        <f t="shared" si="7"/>
        <v>-1</v>
      </c>
      <c r="G239" s="22" t="s">
        <v>105</v>
      </c>
    </row>
    <row r="240" spans="2:7" x14ac:dyDescent="0.2">
      <c r="B240" s="16" t="s">
        <v>337</v>
      </c>
      <c r="C240" s="17">
        <v>57.24</v>
      </c>
      <c r="D240" s="17">
        <v>238.13</v>
      </c>
      <c r="E240" s="17">
        <f t="shared" si="6"/>
        <v>180.89</v>
      </c>
      <c r="F240" s="18">
        <f t="shared" si="7"/>
        <v>3.1602026554856741</v>
      </c>
      <c r="G240" s="21" t="s">
        <v>103</v>
      </c>
    </row>
    <row r="241" spans="2:7" x14ac:dyDescent="0.2">
      <c r="B241" s="16" t="s">
        <v>450</v>
      </c>
      <c r="C241" s="17">
        <v>0</v>
      </c>
      <c r="D241" s="17">
        <v>180.73</v>
      </c>
      <c r="E241" s="17">
        <f t="shared" si="6"/>
        <v>180.73</v>
      </c>
      <c r="F241" s="18">
        <f t="shared" si="7"/>
        <v>0</v>
      </c>
      <c r="G241" s="21" t="s">
        <v>110</v>
      </c>
    </row>
    <row r="242" spans="2:7" x14ac:dyDescent="0.2">
      <c r="B242" s="16" t="s">
        <v>323</v>
      </c>
      <c r="C242" s="17">
        <v>90.7</v>
      </c>
      <c r="D242" s="17">
        <v>268.22000000000003</v>
      </c>
      <c r="E242" s="17">
        <f t="shared" si="6"/>
        <v>177.52000000000004</v>
      </c>
      <c r="F242" s="18">
        <f t="shared" si="7"/>
        <v>1.9572216097023156</v>
      </c>
      <c r="G242" s="21" t="s">
        <v>103</v>
      </c>
    </row>
    <row r="243" spans="2:7" x14ac:dyDescent="0.2">
      <c r="B243" s="16" t="s">
        <v>256</v>
      </c>
      <c r="C243" s="17">
        <v>0</v>
      </c>
      <c r="D243" s="17">
        <v>165.31</v>
      </c>
      <c r="E243" s="17">
        <f t="shared" si="6"/>
        <v>165.31</v>
      </c>
      <c r="F243" s="18">
        <f t="shared" si="7"/>
        <v>0</v>
      </c>
      <c r="G243" s="21" t="s">
        <v>110</v>
      </c>
    </row>
    <row r="244" spans="2:7" x14ac:dyDescent="0.2">
      <c r="B244" s="16" t="s">
        <v>451</v>
      </c>
      <c r="C244" s="17">
        <v>0</v>
      </c>
      <c r="D244" s="17">
        <v>163.63999999999999</v>
      </c>
      <c r="E244" s="17">
        <f t="shared" si="6"/>
        <v>163.63999999999999</v>
      </c>
      <c r="F244" s="18">
        <f t="shared" si="7"/>
        <v>0</v>
      </c>
      <c r="G244" s="21" t="s">
        <v>110</v>
      </c>
    </row>
    <row r="245" spans="2:7" x14ac:dyDescent="0.2">
      <c r="B245" s="16" t="s">
        <v>452</v>
      </c>
      <c r="C245" s="17">
        <v>0</v>
      </c>
      <c r="D245" s="17">
        <v>161.84</v>
      </c>
      <c r="E245" s="17">
        <f t="shared" si="6"/>
        <v>161.84</v>
      </c>
      <c r="F245" s="18">
        <f t="shared" si="7"/>
        <v>0</v>
      </c>
      <c r="G245" s="21" t="s">
        <v>110</v>
      </c>
    </row>
    <row r="246" spans="2:7" x14ac:dyDescent="0.2">
      <c r="B246" s="16" t="s">
        <v>340</v>
      </c>
      <c r="C246" s="17">
        <v>54.98</v>
      </c>
      <c r="D246" s="17">
        <v>216.47</v>
      </c>
      <c r="E246" s="17">
        <f t="shared" si="6"/>
        <v>161.49</v>
      </c>
      <c r="F246" s="18">
        <f t="shared" si="7"/>
        <v>2.9372499090578397</v>
      </c>
      <c r="G246" s="21" t="s">
        <v>103</v>
      </c>
    </row>
    <row r="247" spans="2:7" x14ac:dyDescent="0.2">
      <c r="B247" s="16" t="s">
        <v>263</v>
      </c>
      <c r="C247" s="17">
        <v>0</v>
      </c>
      <c r="D247" s="17">
        <v>159.43</v>
      </c>
      <c r="E247" s="17">
        <f t="shared" si="6"/>
        <v>159.43</v>
      </c>
      <c r="F247" s="18">
        <f t="shared" si="7"/>
        <v>0</v>
      </c>
      <c r="G247" s="21" t="s">
        <v>110</v>
      </c>
    </row>
    <row r="248" spans="2:7" x14ac:dyDescent="0.2">
      <c r="B248" s="16" t="s">
        <v>285</v>
      </c>
      <c r="C248" s="17">
        <v>157.27000000000001</v>
      </c>
      <c r="D248" s="17">
        <v>0</v>
      </c>
      <c r="E248" s="17">
        <f t="shared" si="6"/>
        <v>-157.27000000000001</v>
      </c>
      <c r="F248" s="18">
        <f t="shared" si="7"/>
        <v>-1</v>
      </c>
      <c r="G248" s="22" t="s">
        <v>105</v>
      </c>
    </row>
    <row r="249" spans="2:7" x14ac:dyDescent="0.2">
      <c r="B249" s="16" t="s">
        <v>352</v>
      </c>
      <c r="C249" s="17">
        <v>36.659999999999997</v>
      </c>
      <c r="D249" s="17">
        <v>193.89</v>
      </c>
      <c r="E249" s="17">
        <f t="shared" si="6"/>
        <v>157.22999999999999</v>
      </c>
      <c r="F249" s="18">
        <f t="shared" si="7"/>
        <v>4.2888707037643208</v>
      </c>
      <c r="G249" s="21" t="s">
        <v>103</v>
      </c>
    </row>
    <row r="250" spans="2:7" x14ac:dyDescent="0.2">
      <c r="B250" s="16" t="s">
        <v>453</v>
      </c>
      <c r="C250" s="17">
        <v>0</v>
      </c>
      <c r="D250" s="17">
        <v>154.78</v>
      </c>
      <c r="E250" s="17">
        <f t="shared" si="6"/>
        <v>154.78</v>
      </c>
      <c r="F250" s="18">
        <f t="shared" si="7"/>
        <v>0</v>
      </c>
      <c r="G250" s="21" t="s">
        <v>110</v>
      </c>
    </row>
    <row r="251" spans="2:7" x14ac:dyDescent="0.2">
      <c r="B251" s="16" t="s">
        <v>454</v>
      </c>
      <c r="C251" s="17">
        <v>0</v>
      </c>
      <c r="D251" s="17">
        <v>152.27000000000001</v>
      </c>
      <c r="E251" s="17">
        <f t="shared" si="6"/>
        <v>152.27000000000001</v>
      </c>
      <c r="F251" s="18">
        <f t="shared" si="7"/>
        <v>0</v>
      </c>
      <c r="G251" s="21" t="s">
        <v>110</v>
      </c>
    </row>
    <row r="252" spans="2:7" x14ac:dyDescent="0.2">
      <c r="B252" s="16" t="s">
        <v>455</v>
      </c>
      <c r="C252" s="17">
        <v>0</v>
      </c>
      <c r="D252" s="17">
        <v>150.59</v>
      </c>
      <c r="E252" s="17">
        <f t="shared" si="6"/>
        <v>150.59</v>
      </c>
      <c r="F252" s="18">
        <f t="shared" si="7"/>
        <v>0</v>
      </c>
      <c r="G252" s="21" t="s">
        <v>110</v>
      </c>
    </row>
    <row r="253" spans="2:7" x14ac:dyDescent="0.2">
      <c r="B253" s="16" t="s">
        <v>456</v>
      </c>
      <c r="C253" s="17">
        <v>0</v>
      </c>
      <c r="D253" s="17">
        <v>148.35</v>
      </c>
      <c r="E253" s="17">
        <f t="shared" si="6"/>
        <v>148.35</v>
      </c>
      <c r="F253" s="18">
        <f t="shared" si="7"/>
        <v>0</v>
      </c>
      <c r="G253" s="21" t="s">
        <v>110</v>
      </c>
    </row>
    <row r="254" spans="2:7" x14ac:dyDescent="0.2">
      <c r="B254" s="16" t="s">
        <v>366</v>
      </c>
      <c r="C254" s="17">
        <v>126.91</v>
      </c>
      <c r="D254" s="17">
        <v>0</v>
      </c>
      <c r="E254" s="17">
        <f t="shared" si="6"/>
        <v>-126.91</v>
      </c>
      <c r="F254" s="18">
        <f t="shared" si="7"/>
        <v>-1</v>
      </c>
      <c r="G254" s="22" t="s">
        <v>105</v>
      </c>
    </row>
    <row r="255" spans="2:7" x14ac:dyDescent="0.2">
      <c r="B255" s="16" t="s">
        <v>457</v>
      </c>
      <c r="C255" s="17">
        <v>0</v>
      </c>
      <c r="D255" s="17">
        <v>125.75</v>
      </c>
      <c r="E255" s="17">
        <f t="shared" si="6"/>
        <v>125.75</v>
      </c>
      <c r="F255" s="18">
        <f t="shared" si="7"/>
        <v>0</v>
      </c>
      <c r="G255" s="21" t="s">
        <v>110</v>
      </c>
    </row>
    <row r="256" spans="2:7" x14ac:dyDescent="0.2">
      <c r="B256" s="16" t="s">
        <v>310</v>
      </c>
      <c r="C256" s="17">
        <v>124.89</v>
      </c>
      <c r="D256" s="17">
        <v>0</v>
      </c>
      <c r="E256" s="17">
        <f t="shared" si="6"/>
        <v>-124.89</v>
      </c>
      <c r="F256" s="18">
        <f t="shared" si="7"/>
        <v>-1</v>
      </c>
      <c r="G256" s="22" t="s">
        <v>105</v>
      </c>
    </row>
    <row r="257" spans="2:7" x14ac:dyDescent="0.2">
      <c r="B257" s="16" t="s">
        <v>458</v>
      </c>
      <c r="C257" s="17">
        <v>0</v>
      </c>
      <c r="D257" s="17">
        <v>123.93</v>
      </c>
      <c r="E257" s="17">
        <f t="shared" si="6"/>
        <v>123.93</v>
      </c>
      <c r="F257" s="18">
        <f t="shared" si="7"/>
        <v>0</v>
      </c>
      <c r="G257" s="21" t="s">
        <v>110</v>
      </c>
    </row>
    <row r="258" spans="2:7" x14ac:dyDescent="0.2">
      <c r="B258" s="16" t="s">
        <v>350</v>
      </c>
      <c r="C258" s="17">
        <v>41.22</v>
      </c>
      <c r="D258" s="17">
        <v>164.88</v>
      </c>
      <c r="E258" s="17">
        <f t="shared" ref="E258:E321" si="8">D258-C258</f>
        <v>123.66</v>
      </c>
      <c r="F258" s="18">
        <f t="shared" ref="F258:F321" si="9">IFERROR(E258/ABS(C258),0)</f>
        <v>3</v>
      </c>
      <c r="G258" s="21" t="s">
        <v>103</v>
      </c>
    </row>
    <row r="259" spans="2:7" x14ac:dyDescent="0.2">
      <c r="B259" s="16" t="s">
        <v>459</v>
      </c>
      <c r="C259" s="17">
        <v>0</v>
      </c>
      <c r="D259" s="17">
        <v>120.68</v>
      </c>
      <c r="E259" s="17">
        <f t="shared" si="8"/>
        <v>120.68</v>
      </c>
      <c r="F259" s="18">
        <f t="shared" si="9"/>
        <v>0</v>
      </c>
      <c r="G259" s="21" t="s">
        <v>110</v>
      </c>
    </row>
    <row r="260" spans="2:7" x14ac:dyDescent="0.2">
      <c r="B260" s="16" t="s">
        <v>353</v>
      </c>
      <c r="C260" s="17">
        <v>175.8</v>
      </c>
      <c r="D260" s="17">
        <v>295.26</v>
      </c>
      <c r="E260" s="17">
        <f t="shared" si="8"/>
        <v>119.45999999999998</v>
      </c>
      <c r="F260" s="18">
        <f t="shared" si="9"/>
        <v>0.67952218430034117</v>
      </c>
      <c r="G260" s="21" t="s">
        <v>103</v>
      </c>
    </row>
    <row r="261" spans="2:7" x14ac:dyDescent="0.2">
      <c r="B261" s="16" t="s">
        <v>460</v>
      </c>
      <c r="C261" s="17">
        <v>0</v>
      </c>
      <c r="D261" s="17">
        <v>118.36</v>
      </c>
      <c r="E261" s="17">
        <f t="shared" si="8"/>
        <v>118.36</v>
      </c>
      <c r="F261" s="18">
        <f t="shared" si="9"/>
        <v>0</v>
      </c>
      <c r="G261" s="21" t="s">
        <v>110</v>
      </c>
    </row>
    <row r="262" spans="2:7" x14ac:dyDescent="0.2">
      <c r="B262" s="16" t="s">
        <v>177</v>
      </c>
      <c r="C262" s="17">
        <v>0</v>
      </c>
      <c r="D262" s="17">
        <v>117.75</v>
      </c>
      <c r="E262" s="17">
        <f t="shared" si="8"/>
        <v>117.75</v>
      </c>
      <c r="F262" s="18">
        <f t="shared" si="9"/>
        <v>0</v>
      </c>
      <c r="G262" s="21" t="s">
        <v>110</v>
      </c>
    </row>
    <row r="263" spans="2:7" x14ac:dyDescent="0.2">
      <c r="B263" s="16" t="s">
        <v>213</v>
      </c>
      <c r="C263" s="17">
        <v>14400.9</v>
      </c>
      <c r="D263" s="17">
        <v>14516.87</v>
      </c>
      <c r="E263" s="17">
        <f t="shared" si="8"/>
        <v>115.97000000000116</v>
      </c>
      <c r="F263" s="18">
        <f t="shared" si="9"/>
        <v>8.0529689116653237E-3</v>
      </c>
      <c r="G263" s="21" t="s">
        <v>103</v>
      </c>
    </row>
    <row r="264" spans="2:7" x14ac:dyDescent="0.2">
      <c r="B264" s="16" t="s">
        <v>461</v>
      </c>
      <c r="C264" s="17">
        <v>0</v>
      </c>
      <c r="D264" s="17">
        <v>114.58</v>
      </c>
      <c r="E264" s="17">
        <f t="shared" si="8"/>
        <v>114.58</v>
      </c>
      <c r="F264" s="18">
        <f t="shared" si="9"/>
        <v>0</v>
      </c>
      <c r="G264" s="21" t="s">
        <v>110</v>
      </c>
    </row>
    <row r="265" spans="2:7" x14ac:dyDescent="0.2">
      <c r="B265" s="16" t="s">
        <v>282</v>
      </c>
      <c r="C265" s="17">
        <v>0</v>
      </c>
      <c r="D265" s="17">
        <v>110.55</v>
      </c>
      <c r="E265" s="17">
        <f t="shared" si="8"/>
        <v>110.55</v>
      </c>
      <c r="F265" s="18">
        <f t="shared" si="9"/>
        <v>0</v>
      </c>
      <c r="G265" s="21" t="s">
        <v>110</v>
      </c>
    </row>
    <row r="266" spans="2:7" x14ac:dyDescent="0.2">
      <c r="B266" s="16" t="s">
        <v>462</v>
      </c>
      <c r="C266" s="17">
        <v>0</v>
      </c>
      <c r="D266" s="17">
        <v>105.58</v>
      </c>
      <c r="E266" s="17">
        <f t="shared" si="8"/>
        <v>105.58</v>
      </c>
      <c r="F266" s="18">
        <f t="shared" si="9"/>
        <v>0</v>
      </c>
      <c r="G266" s="21" t="s">
        <v>110</v>
      </c>
    </row>
    <row r="267" spans="2:7" x14ac:dyDescent="0.2">
      <c r="B267" s="16" t="s">
        <v>463</v>
      </c>
      <c r="C267" s="17">
        <v>0</v>
      </c>
      <c r="D267" s="17">
        <v>102.45</v>
      </c>
      <c r="E267" s="17">
        <f t="shared" si="8"/>
        <v>102.45</v>
      </c>
      <c r="F267" s="18">
        <f t="shared" si="9"/>
        <v>0</v>
      </c>
      <c r="G267" s="21" t="s">
        <v>110</v>
      </c>
    </row>
    <row r="268" spans="2:7" x14ac:dyDescent="0.2">
      <c r="B268" s="16" t="s">
        <v>464</v>
      </c>
      <c r="C268" s="17">
        <v>0</v>
      </c>
      <c r="D268" s="17">
        <v>100.2</v>
      </c>
      <c r="E268" s="17">
        <f t="shared" si="8"/>
        <v>100.2</v>
      </c>
      <c r="F268" s="18">
        <f t="shared" si="9"/>
        <v>0</v>
      </c>
      <c r="G268" s="21" t="s">
        <v>110</v>
      </c>
    </row>
    <row r="269" spans="2:7" x14ac:dyDescent="0.2">
      <c r="B269" s="16" t="s">
        <v>312</v>
      </c>
      <c r="C269" s="17">
        <v>99.39</v>
      </c>
      <c r="D269" s="17">
        <v>0</v>
      </c>
      <c r="E269" s="17">
        <f t="shared" si="8"/>
        <v>-99.39</v>
      </c>
      <c r="F269" s="18">
        <f t="shared" si="9"/>
        <v>-1</v>
      </c>
      <c r="G269" s="22" t="s">
        <v>105</v>
      </c>
    </row>
    <row r="270" spans="2:7" x14ac:dyDescent="0.2">
      <c r="B270" s="16" t="s">
        <v>359</v>
      </c>
      <c r="C270" s="17">
        <v>23.4</v>
      </c>
      <c r="D270" s="17">
        <v>113.98</v>
      </c>
      <c r="E270" s="17">
        <f t="shared" si="8"/>
        <v>90.580000000000013</v>
      </c>
      <c r="F270" s="18">
        <f t="shared" si="9"/>
        <v>3.8709401709401718</v>
      </c>
      <c r="G270" s="21" t="s">
        <v>103</v>
      </c>
    </row>
    <row r="271" spans="2:7" x14ac:dyDescent="0.2">
      <c r="B271" s="16" t="s">
        <v>240</v>
      </c>
      <c r="C271" s="17">
        <v>77.56</v>
      </c>
      <c r="D271" s="17">
        <v>168.04</v>
      </c>
      <c r="E271" s="17">
        <f t="shared" si="8"/>
        <v>90.47999999999999</v>
      </c>
      <c r="F271" s="18">
        <f t="shared" si="9"/>
        <v>1.1665807117070652</v>
      </c>
      <c r="G271" s="21" t="s">
        <v>103</v>
      </c>
    </row>
    <row r="272" spans="2:7" x14ac:dyDescent="0.2">
      <c r="B272" s="16" t="s">
        <v>341</v>
      </c>
      <c r="C272" s="17">
        <v>52.26</v>
      </c>
      <c r="D272" s="17">
        <v>138.65</v>
      </c>
      <c r="E272" s="17">
        <f t="shared" si="8"/>
        <v>86.390000000000015</v>
      </c>
      <c r="F272" s="18">
        <f t="shared" si="9"/>
        <v>1.6530807500956759</v>
      </c>
      <c r="G272" s="21" t="s">
        <v>103</v>
      </c>
    </row>
    <row r="273" spans="2:7" x14ac:dyDescent="0.2">
      <c r="B273" s="16" t="s">
        <v>257</v>
      </c>
      <c r="C273" s="17">
        <v>83.61</v>
      </c>
      <c r="D273" s="17">
        <v>0</v>
      </c>
      <c r="E273" s="17">
        <f t="shared" si="8"/>
        <v>-83.61</v>
      </c>
      <c r="F273" s="18">
        <f t="shared" si="9"/>
        <v>-1</v>
      </c>
      <c r="G273" s="22" t="s">
        <v>105</v>
      </c>
    </row>
    <row r="274" spans="2:7" x14ac:dyDescent="0.2">
      <c r="B274" s="16" t="s">
        <v>347</v>
      </c>
      <c r="C274" s="17">
        <v>91.2</v>
      </c>
      <c r="D274" s="17">
        <v>8.75</v>
      </c>
      <c r="E274" s="17">
        <f t="shared" si="8"/>
        <v>-82.45</v>
      </c>
      <c r="F274" s="18">
        <f t="shared" si="9"/>
        <v>-0.9040570175438597</v>
      </c>
      <c r="G274" s="22" t="s">
        <v>107</v>
      </c>
    </row>
    <row r="275" spans="2:7" x14ac:dyDescent="0.2">
      <c r="B275" s="16" t="s">
        <v>326</v>
      </c>
      <c r="C275" s="17">
        <v>80.14</v>
      </c>
      <c r="D275" s="17">
        <v>0</v>
      </c>
      <c r="E275" s="17">
        <f t="shared" si="8"/>
        <v>-80.14</v>
      </c>
      <c r="F275" s="18">
        <f t="shared" si="9"/>
        <v>-1</v>
      </c>
      <c r="G275" s="22" t="s">
        <v>105</v>
      </c>
    </row>
    <row r="276" spans="2:7" x14ac:dyDescent="0.2">
      <c r="B276" s="16" t="s">
        <v>328</v>
      </c>
      <c r="C276" s="17">
        <v>76.319999999999993</v>
      </c>
      <c r="D276" s="17">
        <v>0</v>
      </c>
      <c r="E276" s="17">
        <f t="shared" si="8"/>
        <v>-76.319999999999993</v>
      </c>
      <c r="F276" s="18">
        <f t="shared" si="9"/>
        <v>-1</v>
      </c>
      <c r="G276" s="22" t="s">
        <v>105</v>
      </c>
    </row>
    <row r="277" spans="2:7" x14ac:dyDescent="0.2">
      <c r="B277" s="16" t="s">
        <v>335</v>
      </c>
      <c r="C277" s="17">
        <v>66.569999999999993</v>
      </c>
      <c r="D277" s="17">
        <v>142.01</v>
      </c>
      <c r="E277" s="17">
        <f t="shared" si="8"/>
        <v>75.44</v>
      </c>
      <c r="F277" s="18">
        <f t="shared" si="9"/>
        <v>1.1332432026438337</v>
      </c>
      <c r="G277" s="21" t="s">
        <v>103</v>
      </c>
    </row>
    <row r="278" spans="2:7" x14ac:dyDescent="0.2">
      <c r="B278" s="16" t="s">
        <v>329</v>
      </c>
      <c r="C278" s="17">
        <v>75.44</v>
      </c>
      <c r="D278" s="17">
        <v>0</v>
      </c>
      <c r="E278" s="17">
        <f t="shared" si="8"/>
        <v>-75.44</v>
      </c>
      <c r="F278" s="18">
        <f t="shared" si="9"/>
        <v>-1</v>
      </c>
      <c r="G278" s="22" t="s">
        <v>105</v>
      </c>
    </row>
    <row r="279" spans="2:7" x14ac:dyDescent="0.2">
      <c r="B279" s="16" t="s">
        <v>238</v>
      </c>
      <c r="C279" s="17">
        <v>0</v>
      </c>
      <c r="D279" s="17">
        <v>75</v>
      </c>
      <c r="E279" s="17">
        <f t="shared" si="8"/>
        <v>75</v>
      </c>
      <c r="F279" s="18">
        <f t="shared" si="9"/>
        <v>0</v>
      </c>
      <c r="G279" s="21" t="s">
        <v>110</v>
      </c>
    </row>
    <row r="280" spans="2:7" x14ac:dyDescent="0.2">
      <c r="B280" s="16" t="s">
        <v>465</v>
      </c>
      <c r="C280" s="17">
        <v>0</v>
      </c>
      <c r="D280" s="17">
        <v>73.81</v>
      </c>
      <c r="E280" s="17">
        <f t="shared" si="8"/>
        <v>73.81</v>
      </c>
      <c r="F280" s="18">
        <f t="shared" si="9"/>
        <v>0</v>
      </c>
      <c r="G280" s="21" t="s">
        <v>110</v>
      </c>
    </row>
    <row r="281" spans="2:7" x14ac:dyDescent="0.2">
      <c r="B281" s="16" t="s">
        <v>345</v>
      </c>
      <c r="C281" s="17">
        <v>49.95</v>
      </c>
      <c r="D281" s="17">
        <v>119.88</v>
      </c>
      <c r="E281" s="17">
        <f t="shared" si="8"/>
        <v>69.929999999999993</v>
      </c>
      <c r="F281" s="18">
        <f t="shared" si="9"/>
        <v>1.3999999999999997</v>
      </c>
      <c r="G281" s="21" t="s">
        <v>103</v>
      </c>
    </row>
    <row r="282" spans="2:7" x14ac:dyDescent="0.2">
      <c r="B282" s="16" t="s">
        <v>332</v>
      </c>
      <c r="C282" s="17">
        <v>69.86</v>
      </c>
      <c r="D282" s="17">
        <v>0</v>
      </c>
      <c r="E282" s="17">
        <f t="shared" si="8"/>
        <v>-69.86</v>
      </c>
      <c r="F282" s="18">
        <f t="shared" si="9"/>
        <v>-1</v>
      </c>
      <c r="G282" s="22" t="s">
        <v>105</v>
      </c>
    </row>
    <row r="283" spans="2:7" x14ac:dyDescent="0.2">
      <c r="B283" s="16" t="s">
        <v>314</v>
      </c>
      <c r="C283" s="17">
        <v>96.43</v>
      </c>
      <c r="D283" s="17">
        <v>26.74</v>
      </c>
      <c r="E283" s="17">
        <f t="shared" si="8"/>
        <v>-69.690000000000012</v>
      </c>
      <c r="F283" s="18">
        <f t="shared" si="9"/>
        <v>-0.72270040443845285</v>
      </c>
      <c r="G283" s="22" t="s">
        <v>107</v>
      </c>
    </row>
    <row r="284" spans="2:7" x14ac:dyDescent="0.2">
      <c r="B284" s="16" t="s">
        <v>333</v>
      </c>
      <c r="C284" s="17">
        <v>69.12</v>
      </c>
      <c r="D284" s="17">
        <v>0</v>
      </c>
      <c r="E284" s="17">
        <f t="shared" si="8"/>
        <v>-69.12</v>
      </c>
      <c r="F284" s="18">
        <f t="shared" si="9"/>
        <v>-1</v>
      </c>
      <c r="G284" s="22" t="s">
        <v>105</v>
      </c>
    </row>
    <row r="285" spans="2:7" x14ac:dyDescent="0.2">
      <c r="B285" s="16" t="s">
        <v>466</v>
      </c>
      <c r="C285" s="17">
        <v>0</v>
      </c>
      <c r="D285" s="17">
        <v>61.54</v>
      </c>
      <c r="E285" s="17">
        <f t="shared" si="8"/>
        <v>61.54</v>
      </c>
      <c r="F285" s="18">
        <f t="shared" si="9"/>
        <v>0</v>
      </c>
      <c r="G285" s="21" t="s">
        <v>110</v>
      </c>
    </row>
    <row r="286" spans="2:7" x14ac:dyDescent="0.2">
      <c r="B286" s="16" t="s">
        <v>336</v>
      </c>
      <c r="C286" s="17">
        <v>61.44</v>
      </c>
      <c r="D286" s="17">
        <v>0</v>
      </c>
      <c r="E286" s="17">
        <f t="shared" si="8"/>
        <v>-61.44</v>
      </c>
      <c r="F286" s="18">
        <f t="shared" si="9"/>
        <v>-1</v>
      </c>
      <c r="G286" s="22" t="s">
        <v>105</v>
      </c>
    </row>
    <row r="287" spans="2:7" x14ac:dyDescent="0.2">
      <c r="B287" s="16" t="s">
        <v>368</v>
      </c>
      <c r="C287" s="17">
        <v>0</v>
      </c>
      <c r="D287" s="17">
        <v>59.66</v>
      </c>
      <c r="E287" s="17">
        <f t="shared" si="8"/>
        <v>59.66</v>
      </c>
      <c r="F287" s="18">
        <f t="shared" si="9"/>
        <v>0</v>
      </c>
      <c r="G287" s="21" t="s">
        <v>110</v>
      </c>
    </row>
    <row r="288" spans="2:7" x14ac:dyDescent="0.2">
      <c r="B288" s="16" t="s">
        <v>334</v>
      </c>
      <c r="C288" s="17">
        <v>458.13</v>
      </c>
      <c r="D288" s="17">
        <v>399.69</v>
      </c>
      <c r="E288" s="17">
        <f t="shared" si="8"/>
        <v>-58.44</v>
      </c>
      <c r="F288" s="18">
        <f t="shared" si="9"/>
        <v>-0.12756204570755025</v>
      </c>
      <c r="G288" s="22" t="s">
        <v>107</v>
      </c>
    </row>
    <row r="289" spans="2:7" x14ac:dyDescent="0.2">
      <c r="B289" s="16" t="s">
        <v>467</v>
      </c>
      <c r="C289" s="17">
        <v>0</v>
      </c>
      <c r="D289" s="17">
        <v>56.3</v>
      </c>
      <c r="E289" s="17">
        <f t="shared" si="8"/>
        <v>56.3</v>
      </c>
      <c r="F289" s="18">
        <f t="shared" si="9"/>
        <v>0</v>
      </c>
      <c r="G289" s="21" t="s">
        <v>110</v>
      </c>
    </row>
    <row r="290" spans="2:7" x14ac:dyDescent="0.2">
      <c r="B290" s="16" t="s">
        <v>339</v>
      </c>
      <c r="C290" s="17">
        <v>54.98</v>
      </c>
      <c r="D290" s="17">
        <v>0</v>
      </c>
      <c r="E290" s="17">
        <f t="shared" si="8"/>
        <v>-54.98</v>
      </c>
      <c r="F290" s="18">
        <f t="shared" si="9"/>
        <v>-1</v>
      </c>
      <c r="G290" s="22" t="s">
        <v>105</v>
      </c>
    </row>
    <row r="291" spans="2:7" x14ac:dyDescent="0.2">
      <c r="B291" s="16" t="s">
        <v>468</v>
      </c>
      <c r="C291" s="17">
        <v>0</v>
      </c>
      <c r="D291" s="17">
        <v>50</v>
      </c>
      <c r="E291" s="17">
        <f t="shared" si="8"/>
        <v>50</v>
      </c>
      <c r="F291" s="18">
        <f t="shared" si="9"/>
        <v>0</v>
      </c>
      <c r="G291" s="21" t="s">
        <v>110</v>
      </c>
    </row>
    <row r="292" spans="2:7" x14ac:dyDescent="0.2">
      <c r="B292" s="16" t="s">
        <v>342</v>
      </c>
      <c r="C292" s="17">
        <v>50</v>
      </c>
      <c r="D292" s="17">
        <v>0</v>
      </c>
      <c r="E292" s="17">
        <f t="shared" si="8"/>
        <v>-50</v>
      </c>
      <c r="F292" s="18">
        <f t="shared" si="9"/>
        <v>-1</v>
      </c>
      <c r="G292" s="22" t="s">
        <v>105</v>
      </c>
    </row>
    <row r="293" spans="2:7" x14ac:dyDescent="0.2">
      <c r="B293" s="16" t="s">
        <v>469</v>
      </c>
      <c r="C293" s="17">
        <v>0</v>
      </c>
      <c r="D293" s="17">
        <v>44.37</v>
      </c>
      <c r="E293" s="17">
        <f t="shared" si="8"/>
        <v>44.37</v>
      </c>
      <c r="F293" s="18">
        <f t="shared" si="9"/>
        <v>0</v>
      </c>
      <c r="G293" s="21" t="s">
        <v>110</v>
      </c>
    </row>
    <row r="294" spans="2:7" x14ac:dyDescent="0.2">
      <c r="B294" s="16" t="s">
        <v>307</v>
      </c>
      <c r="C294" s="17">
        <v>146.02000000000001</v>
      </c>
      <c r="D294" s="17">
        <v>188.66</v>
      </c>
      <c r="E294" s="17">
        <f t="shared" si="8"/>
        <v>42.639999999999986</v>
      </c>
      <c r="F294" s="18">
        <f t="shared" si="9"/>
        <v>0.29201479249417878</v>
      </c>
      <c r="G294" s="21" t="s">
        <v>103</v>
      </c>
    </row>
    <row r="295" spans="2:7" x14ac:dyDescent="0.2">
      <c r="B295" s="16" t="s">
        <v>331</v>
      </c>
      <c r="C295" s="17">
        <v>73.760000000000005</v>
      </c>
      <c r="D295" s="17">
        <v>110.64</v>
      </c>
      <c r="E295" s="17">
        <f t="shared" si="8"/>
        <v>36.879999999999995</v>
      </c>
      <c r="F295" s="18">
        <f t="shared" si="9"/>
        <v>0.49999999999999989</v>
      </c>
      <c r="G295" s="21" t="s">
        <v>103</v>
      </c>
    </row>
    <row r="296" spans="2:7" x14ac:dyDescent="0.2">
      <c r="B296" s="16" t="s">
        <v>470</v>
      </c>
      <c r="C296" s="17">
        <v>0</v>
      </c>
      <c r="D296" s="17">
        <v>33.24</v>
      </c>
      <c r="E296" s="17">
        <f t="shared" si="8"/>
        <v>33.24</v>
      </c>
      <c r="F296" s="18">
        <f t="shared" si="9"/>
        <v>0</v>
      </c>
      <c r="G296" s="21" t="s">
        <v>110</v>
      </c>
    </row>
    <row r="297" spans="2:7" x14ac:dyDescent="0.2">
      <c r="B297" s="16" t="s">
        <v>346</v>
      </c>
      <c r="C297" s="17">
        <v>369.8</v>
      </c>
      <c r="D297" s="17">
        <v>400.4</v>
      </c>
      <c r="E297" s="17">
        <f t="shared" si="8"/>
        <v>30.599999999999966</v>
      </c>
      <c r="F297" s="18">
        <f t="shared" si="9"/>
        <v>8.2747431043807371E-2</v>
      </c>
      <c r="G297" s="21" t="s">
        <v>103</v>
      </c>
    </row>
    <row r="298" spans="2:7" x14ac:dyDescent="0.2">
      <c r="B298" s="16" t="s">
        <v>356</v>
      </c>
      <c r="C298" s="17">
        <v>29.97</v>
      </c>
      <c r="D298" s="17">
        <v>0</v>
      </c>
      <c r="E298" s="17">
        <f t="shared" si="8"/>
        <v>-29.97</v>
      </c>
      <c r="F298" s="18">
        <f t="shared" si="9"/>
        <v>-1</v>
      </c>
      <c r="G298" s="22" t="s">
        <v>105</v>
      </c>
    </row>
    <row r="299" spans="2:7" x14ac:dyDescent="0.2">
      <c r="B299" s="16" t="s">
        <v>355</v>
      </c>
      <c r="C299" s="17">
        <v>29.97</v>
      </c>
      <c r="D299" s="17">
        <v>0</v>
      </c>
      <c r="E299" s="17">
        <f t="shared" si="8"/>
        <v>-29.97</v>
      </c>
      <c r="F299" s="18">
        <f t="shared" si="9"/>
        <v>-1</v>
      </c>
      <c r="G299" s="22" t="s">
        <v>105</v>
      </c>
    </row>
    <row r="300" spans="2:7" x14ac:dyDescent="0.2">
      <c r="B300" s="16" t="s">
        <v>471</v>
      </c>
      <c r="C300" s="17">
        <v>0</v>
      </c>
      <c r="D300" s="17">
        <v>29.95</v>
      </c>
      <c r="E300" s="17">
        <f t="shared" si="8"/>
        <v>29.95</v>
      </c>
      <c r="F300" s="18">
        <f t="shared" si="9"/>
        <v>0</v>
      </c>
      <c r="G300" s="21" t="s">
        <v>110</v>
      </c>
    </row>
    <row r="301" spans="2:7" x14ac:dyDescent="0.2">
      <c r="B301" s="16" t="s">
        <v>357</v>
      </c>
      <c r="C301" s="17">
        <v>29.23</v>
      </c>
      <c r="D301" s="17">
        <v>0</v>
      </c>
      <c r="E301" s="17">
        <f t="shared" si="8"/>
        <v>-29.23</v>
      </c>
      <c r="F301" s="18">
        <f t="shared" si="9"/>
        <v>-1</v>
      </c>
      <c r="G301" s="22" t="s">
        <v>105</v>
      </c>
    </row>
    <row r="302" spans="2:7" x14ac:dyDescent="0.2">
      <c r="B302" s="16" t="s">
        <v>472</v>
      </c>
      <c r="C302" s="17">
        <v>0</v>
      </c>
      <c r="D302" s="17">
        <v>28.66</v>
      </c>
      <c r="E302" s="17">
        <f t="shared" si="8"/>
        <v>28.66</v>
      </c>
      <c r="F302" s="18">
        <f t="shared" si="9"/>
        <v>0</v>
      </c>
      <c r="G302" s="21" t="s">
        <v>110</v>
      </c>
    </row>
    <row r="303" spans="2:7" x14ac:dyDescent="0.2">
      <c r="B303" s="16" t="s">
        <v>362</v>
      </c>
      <c r="C303" s="17">
        <v>57.45</v>
      </c>
      <c r="D303" s="17">
        <v>84</v>
      </c>
      <c r="E303" s="17">
        <f t="shared" si="8"/>
        <v>26.549999999999997</v>
      </c>
      <c r="F303" s="18">
        <f t="shared" si="9"/>
        <v>0.46214099216710175</v>
      </c>
      <c r="G303" s="21" t="s">
        <v>103</v>
      </c>
    </row>
    <row r="304" spans="2:7" x14ac:dyDescent="0.2">
      <c r="B304" s="16" t="s">
        <v>349</v>
      </c>
      <c r="C304" s="17">
        <v>42.16</v>
      </c>
      <c r="D304" s="17">
        <v>21</v>
      </c>
      <c r="E304" s="17">
        <f t="shared" si="8"/>
        <v>-21.159999999999997</v>
      </c>
      <c r="F304" s="18">
        <f t="shared" si="9"/>
        <v>-0.50189753320683106</v>
      </c>
      <c r="G304" s="22" t="s">
        <v>107</v>
      </c>
    </row>
    <row r="305" spans="2:7" x14ac:dyDescent="0.2">
      <c r="B305" s="16" t="s">
        <v>288</v>
      </c>
      <c r="C305" s="17">
        <v>267.2</v>
      </c>
      <c r="D305" s="17">
        <v>247.3</v>
      </c>
      <c r="E305" s="17">
        <f t="shared" si="8"/>
        <v>-19.899999999999977</v>
      </c>
      <c r="F305" s="18">
        <f t="shared" si="9"/>
        <v>-7.4476047904191531E-2</v>
      </c>
      <c r="G305" s="22" t="s">
        <v>107</v>
      </c>
    </row>
    <row r="306" spans="2:7" x14ac:dyDescent="0.2">
      <c r="B306" s="16" t="s">
        <v>358</v>
      </c>
      <c r="C306" s="17">
        <v>28.29</v>
      </c>
      <c r="D306" s="17">
        <v>47.35</v>
      </c>
      <c r="E306" s="17">
        <f t="shared" si="8"/>
        <v>19.060000000000002</v>
      </c>
      <c r="F306" s="18">
        <f t="shared" si="9"/>
        <v>0.67373630258041717</v>
      </c>
      <c r="G306" s="21" t="s">
        <v>103</v>
      </c>
    </row>
    <row r="307" spans="2:7" x14ac:dyDescent="0.2">
      <c r="B307" s="16" t="s">
        <v>274</v>
      </c>
      <c r="C307" s="17">
        <v>299.26</v>
      </c>
      <c r="D307" s="17">
        <v>311.58</v>
      </c>
      <c r="E307" s="17">
        <f t="shared" si="8"/>
        <v>12.319999999999993</v>
      </c>
      <c r="F307" s="18">
        <f t="shared" si="9"/>
        <v>4.116821493016104E-2</v>
      </c>
      <c r="G307" s="21" t="s">
        <v>103</v>
      </c>
    </row>
    <row r="308" spans="2:7" x14ac:dyDescent="0.2">
      <c r="B308" s="16" t="s">
        <v>270</v>
      </c>
      <c r="C308" s="17">
        <v>708.14</v>
      </c>
      <c r="D308" s="17">
        <v>701.8</v>
      </c>
      <c r="E308" s="17">
        <f t="shared" si="8"/>
        <v>-6.3400000000000318</v>
      </c>
      <c r="F308" s="18">
        <f t="shared" si="9"/>
        <v>-8.9530318863502018E-3</v>
      </c>
      <c r="G308" s="22" t="s">
        <v>107</v>
      </c>
    </row>
    <row r="309" spans="2:7" x14ac:dyDescent="0.2">
      <c r="B309" s="16" t="s">
        <v>165</v>
      </c>
      <c r="C309" s="17">
        <v>98.15</v>
      </c>
      <c r="D309" s="17">
        <v>103.63</v>
      </c>
      <c r="E309" s="17">
        <f t="shared" si="8"/>
        <v>5.4799999999999898</v>
      </c>
      <c r="F309" s="18">
        <f t="shared" si="9"/>
        <v>5.5832908813041156E-2</v>
      </c>
      <c r="G309" s="21" t="s">
        <v>103</v>
      </c>
    </row>
    <row r="310" spans="2:7" x14ac:dyDescent="0.2">
      <c r="B310" s="16" t="s">
        <v>473</v>
      </c>
      <c r="C310" s="17">
        <v>0</v>
      </c>
      <c r="D310" s="17">
        <v>0</v>
      </c>
      <c r="E310" s="17">
        <f t="shared" si="8"/>
        <v>0</v>
      </c>
      <c r="F310" s="18">
        <f t="shared" si="9"/>
        <v>0</v>
      </c>
      <c r="G310" s="19" t="s">
        <v>369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1"/>
  <sheetViews>
    <sheetView zoomScaleNormal="100" workbookViewId="0"/>
  </sheetViews>
  <sheetFormatPr baseColWidth="10" defaultColWidth="8.6640625" defaultRowHeight="15" customHeight="1" x14ac:dyDescent="0.2"/>
  <cols>
    <col min="1" max="1" width="2" customWidth="1"/>
    <col min="2" max="2" width="35" customWidth="1"/>
    <col min="3" max="7" width="14" customWidth="1"/>
  </cols>
  <sheetData>
    <row r="1" spans="1:7" x14ac:dyDescent="0.2">
      <c r="A1" s="15"/>
      <c r="B1" s="15" t="s">
        <v>474</v>
      </c>
      <c r="C1" s="15" t="s">
        <v>475</v>
      </c>
      <c r="D1" s="15" t="s">
        <v>476</v>
      </c>
      <c r="E1" s="15" t="s">
        <v>54</v>
      </c>
      <c r="F1" s="15" t="s">
        <v>55</v>
      </c>
      <c r="G1" s="15" t="s">
        <v>477</v>
      </c>
    </row>
    <row r="2" spans="1:7" x14ac:dyDescent="0.2">
      <c r="B2" s="16" t="s">
        <v>478</v>
      </c>
      <c r="C2" s="17">
        <v>571852.98</v>
      </c>
      <c r="D2" s="17">
        <v>278489.18</v>
      </c>
      <c r="E2" s="17">
        <f t="shared" ref="E2:E33" si="0">D2-C2</f>
        <v>-293363.8</v>
      </c>
      <c r="F2" s="18">
        <f t="shared" ref="F2:F33" si="1">IFERROR(E2/ABS(C2),0)</f>
        <v>-0.51300563302127056</v>
      </c>
      <c r="G2" s="19" t="s">
        <v>59</v>
      </c>
    </row>
    <row r="3" spans="1:7" x14ac:dyDescent="0.2">
      <c r="B3" s="16" t="s">
        <v>479</v>
      </c>
      <c r="C3" s="17">
        <v>0</v>
      </c>
      <c r="D3" s="17">
        <v>182767.59</v>
      </c>
      <c r="E3" s="17">
        <f t="shared" si="0"/>
        <v>182767.59</v>
      </c>
      <c r="F3" s="18">
        <f t="shared" si="1"/>
        <v>0</v>
      </c>
      <c r="G3" s="19" t="s">
        <v>59</v>
      </c>
    </row>
    <row r="4" spans="1:7" x14ac:dyDescent="0.2">
      <c r="B4" s="16" t="s">
        <v>480</v>
      </c>
      <c r="C4" s="17">
        <v>447899.51</v>
      </c>
      <c r="D4" s="17">
        <v>297443.42</v>
      </c>
      <c r="E4" s="17">
        <f t="shared" si="0"/>
        <v>-150456.09000000003</v>
      </c>
      <c r="F4" s="18">
        <f t="shared" si="1"/>
        <v>-0.33591483500394992</v>
      </c>
      <c r="G4" s="19" t="s">
        <v>59</v>
      </c>
    </row>
    <row r="5" spans="1:7" x14ac:dyDescent="0.2">
      <c r="B5" s="16" t="s">
        <v>481</v>
      </c>
      <c r="C5" s="17">
        <v>79201.45</v>
      </c>
      <c r="D5" s="17">
        <v>202379.98</v>
      </c>
      <c r="E5" s="17">
        <f t="shared" si="0"/>
        <v>123178.53000000001</v>
      </c>
      <c r="F5" s="18">
        <f t="shared" si="1"/>
        <v>1.5552559959445189</v>
      </c>
      <c r="G5" s="19" t="s">
        <v>59</v>
      </c>
    </row>
    <row r="6" spans="1:7" x14ac:dyDescent="0.2">
      <c r="B6" s="16" t="s">
        <v>482</v>
      </c>
      <c r="C6" s="17">
        <v>0</v>
      </c>
      <c r="D6" s="17">
        <v>109164.46</v>
      </c>
      <c r="E6" s="17">
        <f t="shared" si="0"/>
        <v>109164.46</v>
      </c>
      <c r="F6" s="18">
        <f t="shared" si="1"/>
        <v>0</v>
      </c>
      <c r="G6" s="19" t="s">
        <v>59</v>
      </c>
    </row>
    <row r="7" spans="1:7" x14ac:dyDescent="0.2">
      <c r="B7" s="16" t="s">
        <v>483</v>
      </c>
      <c r="C7" s="17">
        <v>102790</v>
      </c>
      <c r="D7" s="17">
        <v>0</v>
      </c>
      <c r="E7" s="17">
        <f t="shared" si="0"/>
        <v>-102790</v>
      </c>
      <c r="F7" s="18">
        <f t="shared" si="1"/>
        <v>-1</v>
      </c>
      <c r="G7" s="19" t="s">
        <v>59</v>
      </c>
    </row>
    <row r="8" spans="1:7" x14ac:dyDescent="0.2">
      <c r="B8" s="16" t="s">
        <v>484</v>
      </c>
      <c r="C8" s="17">
        <v>83794.149999999994</v>
      </c>
      <c r="D8" s="17">
        <v>0</v>
      </c>
      <c r="E8" s="17">
        <f t="shared" si="0"/>
        <v>-83794.149999999994</v>
      </c>
      <c r="F8" s="18">
        <f t="shared" si="1"/>
        <v>-1</v>
      </c>
      <c r="G8" s="19" t="s">
        <v>59</v>
      </c>
    </row>
    <row r="9" spans="1:7" x14ac:dyDescent="0.2">
      <c r="B9" s="16" t="s">
        <v>485</v>
      </c>
      <c r="C9" s="17">
        <v>181300.94</v>
      </c>
      <c r="D9" s="17">
        <v>98192.52</v>
      </c>
      <c r="E9" s="17">
        <f t="shared" si="0"/>
        <v>-83108.42</v>
      </c>
      <c r="F9" s="18">
        <f t="shared" si="1"/>
        <v>-0.45840038115632492</v>
      </c>
      <c r="G9" s="19" t="s">
        <v>59</v>
      </c>
    </row>
    <row r="10" spans="1:7" x14ac:dyDescent="0.2">
      <c r="B10" s="16" t="s">
        <v>486</v>
      </c>
      <c r="C10" s="17">
        <v>224724.36</v>
      </c>
      <c r="D10" s="17">
        <v>148124.71</v>
      </c>
      <c r="E10" s="17">
        <f t="shared" si="0"/>
        <v>-76599.649999999994</v>
      </c>
      <c r="F10" s="18">
        <f t="shared" si="1"/>
        <v>-0.34086046568338207</v>
      </c>
      <c r="G10" s="19" t="s">
        <v>59</v>
      </c>
    </row>
    <row r="11" spans="1:7" x14ac:dyDescent="0.2">
      <c r="B11" s="16" t="s">
        <v>487</v>
      </c>
      <c r="C11" s="17">
        <v>443573.14</v>
      </c>
      <c r="D11" s="17">
        <v>382361.59999999998</v>
      </c>
      <c r="E11" s="17">
        <f t="shared" si="0"/>
        <v>-61211.540000000037</v>
      </c>
      <c r="F11" s="18">
        <f t="shared" si="1"/>
        <v>-0.13799649816487994</v>
      </c>
      <c r="G11" s="19" t="s">
        <v>59</v>
      </c>
    </row>
    <row r="12" spans="1:7" x14ac:dyDescent="0.2">
      <c r="B12" s="16" t="s">
        <v>488</v>
      </c>
      <c r="C12" s="17">
        <v>165770.64000000001</v>
      </c>
      <c r="D12" s="17">
        <v>226357.75</v>
      </c>
      <c r="E12" s="17">
        <f t="shared" si="0"/>
        <v>60587.109999999986</v>
      </c>
      <c r="F12" s="18">
        <f t="shared" si="1"/>
        <v>0.36548757970651485</v>
      </c>
      <c r="G12" s="19" t="s">
        <v>59</v>
      </c>
    </row>
    <row r="13" spans="1:7" x14ac:dyDescent="0.2">
      <c r="B13" s="16" t="s">
        <v>489</v>
      </c>
      <c r="C13" s="17">
        <v>59724.84</v>
      </c>
      <c r="D13" s="17">
        <v>4253.5</v>
      </c>
      <c r="E13" s="17">
        <f t="shared" si="0"/>
        <v>-55471.34</v>
      </c>
      <c r="F13" s="18">
        <f t="shared" si="1"/>
        <v>-0.928781726330284</v>
      </c>
      <c r="G13" s="19" t="s">
        <v>59</v>
      </c>
    </row>
    <row r="14" spans="1:7" x14ac:dyDescent="0.2">
      <c r="B14" s="16" t="s">
        <v>490</v>
      </c>
      <c r="C14" s="17">
        <v>58746.06</v>
      </c>
      <c r="D14" s="17">
        <v>8591.0499999999993</v>
      </c>
      <c r="E14" s="17">
        <f t="shared" si="0"/>
        <v>-50155.009999999995</v>
      </c>
      <c r="F14" s="18">
        <f t="shared" si="1"/>
        <v>-0.85375955425776628</v>
      </c>
      <c r="G14" s="19" t="s">
        <v>59</v>
      </c>
    </row>
    <row r="15" spans="1:7" x14ac:dyDescent="0.2">
      <c r="B15" s="16" t="s">
        <v>491</v>
      </c>
      <c r="C15" s="17">
        <v>93692.21</v>
      </c>
      <c r="D15" s="17">
        <v>44523.59</v>
      </c>
      <c r="E15" s="17">
        <f t="shared" si="0"/>
        <v>-49168.62000000001</v>
      </c>
      <c r="F15" s="18">
        <f t="shared" si="1"/>
        <v>-0.52478877379453437</v>
      </c>
      <c r="G15" s="19" t="s">
        <v>59</v>
      </c>
    </row>
    <row r="16" spans="1:7" x14ac:dyDescent="0.2">
      <c r="B16" s="16" t="s">
        <v>492</v>
      </c>
      <c r="C16" s="17">
        <v>160424.24</v>
      </c>
      <c r="D16" s="17">
        <v>115416.01</v>
      </c>
      <c r="E16" s="17">
        <f t="shared" si="0"/>
        <v>-45008.229999999996</v>
      </c>
      <c r="F16" s="18">
        <f t="shared" si="1"/>
        <v>-0.28055753918485138</v>
      </c>
      <c r="G16" s="19" t="s">
        <v>59</v>
      </c>
    </row>
    <row r="17" spans="2:7" x14ac:dyDescent="0.2">
      <c r="B17" s="16" t="s">
        <v>493</v>
      </c>
      <c r="C17" s="17">
        <v>46501.36</v>
      </c>
      <c r="D17" s="17">
        <v>3249.29</v>
      </c>
      <c r="E17" s="17">
        <f t="shared" si="0"/>
        <v>-43252.07</v>
      </c>
      <c r="F17" s="18">
        <f t="shared" si="1"/>
        <v>-0.93012483935953705</v>
      </c>
      <c r="G17" s="19" t="s">
        <v>59</v>
      </c>
    </row>
    <row r="18" spans="2:7" x14ac:dyDescent="0.2">
      <c r="B18" s="16" t="s">
        <v>494</v>
      </c>
      <c r="C18" s="17">
        <v>75294.8</v>
      </c>
      <c r="D18" s="17">
        <v>118495.28</v>
      </c>
      <c r="E18" s="17">
        <f t="shared" si="0"/>
        <v>43200.479999999996</v>
      </c>
      <c r="F18" s="18">
        <f t="shared" si="1"/>
        <v>0.573751175379973</v>
      </c>
      <c r="G18" s="19" t="s">
        <v>59</v>
      </c>
    </row>
    <row r="19" spans="2:7" x14ac:dyDescent="0.2">
      <c r="B19" s="16" t="s">
        <v>495</v>
      </c>
      <c r="C19" s="17">
        <v>37718.699999999997</v>
      </c>
      <c r="D19" s="17">
        <v>690</v>
      </c>
      <c r="E19" s="17">
        <f t="shared" si="0"/>
        <v>-37028.699999999997</v>
      </c>
      <c r="F19" s="18">
        <f t="shared" si="1"/>
        <v>-0.98170668660372706</v>
      </c>
      <c r="G19" s="19" t="s">
        <v>59</v>
      </c>
    </row>
    <row r="20" spans="2:7" x14ac:dyDescent="0.2">
      <c r="B20" s="16" t="s">
        <v>496</v>
      </c>
      <c r="C20" s="17">
        <v>38246.14</v>
      </c>
      <c r="D20" s="17">
        <v>4596.79</v>
      </c>
      <c r="E20" s="17">
        <f t="shared" si="0"/>
        <v>-33649.35</v>
      </c>
      <c r="F20" s="18">
        <f t="shared" si="1"/>
        <v>-0.87981035471814928</v>
      </c>
      <c r="G20" s="19" t="s">
        <v>59</v>
      </c>
    </row>
    <row r="21" spans="2:7" x14ac:dyDescent="0.2">
      <c r="B21" s="16" t="s">
        <v>497</v>
      </c>
      <c r="C21" s="17">
        <v>0</v>
      </c>
      <c r="D21" s="17">
        <v>33288.550000000003</v>
      </c>
      <c r="E21" s="17">
        <f t="shared" si="0"/>
        <v>33288.550000000003</v>
      </c>
      <c r="F21" s="18">
        <f t="shared" si="1"/>
        <v>0</v>
      </c>
      <c r="G21" s="19" t="s">
        <v>59</v>
      </c>
    </row>
    <row r="22" spans="2:7" x14ac:dyDescent="0.2">
      <c r="B22" s="16" t="s">
        <v>498</v>
      </c>
      <c r="C22" s="17">
        <v>0</v>
      </c>
      <c r="D22" s="17">
        <v>32498</v>
      </c>
      <c r="E22" s="17">
        <f t="shared" si="0"/>
        <v>32498</v>
      </c>
      <c r="F22" s="18">
        <f t="shared" si="1"/>
        <v>0</v>
      </c>
      <c r="G22" s="19" t="s">
        <v>59</v>
      </c>
    </row>
    <row r="23" spans="2:7" x14ac:dyDescent="0.2">
      <c r="B23" s="16" t="s">
        <v>499</v>
      </c>
      <c r="C23" s="17">
        <v>132771.47</v>
      </c>
      <c r="D23" s="17">
        <v>165108.96</v>
      </c>
      <c r="E23" s="17">
        <f t="shared" si="0"/>
        <v>32337.489999999991</v>
      </c>
      <c r="F23" s="18">
        <f t="shared" si="1"/>
        <v>0.24355752030161293</v>
      </c>
      <c r="G23" s="19" t="s">
        <v>59</v>
      </c>
    </row>
    <row r="24" spans="2:7" x14ac:dyDescent="0.2">
      <c r="B24" s="16" t="s">
        <v>500</v>
      </c>
      <c r="C24" s="17">
        <v>0</v>
      </c>
      <c r="D24" s="17">
        <v>30132.09</v>
      </c>
      <c r="E24" s="17">
        <f t="shared" si="0"/>
        <v>30132.09</v>
      </c>
      <c r="F24" s="18">
        <f t="shared" si="1"/>
        <v>0</v>
      </c>
      <c r="G24" s="19" t="s">
        <v>59</v>
      </c>
    </row>
    <row r="25" spans="2:7" x14ac:dyDescent="0.2">
      <c r="B25" s="16" t="s">
        <v>501</v>
      </c>
      <c r="C25" s="17">
        <v>30992.59</v>
      </c>
      <c r="D25" s="17">
        <v>1811.26</v>
      </c>
      <c r="E25" s="17">
        <f t="shared" si="0"/>
        <v>-29181.33</v>
      </c>
      <c r="F25" s="18">
        <f t="shared" si="1"/>
        <v>-0.94155828861027757</v>
      </c>
      <c r="G25" s="19" t="s">
        <v>59</v>
      </c>
    </row>
    <row r="26" spans="2:7" x14ac:dyDescent="0.2">
      <c r="B26" s="16" t="s">
        <v>502</v>
      </c>
      <c r="C26" s="17">
        <v>70005.990000000005</v>
      </c>
      <c r="D26" s="17">
        <v>98553.69</v>
      </c>
      <c r="E26" s="17">
        <f t="shared" si="0"/>
        <v>28547.699999999997</v>
      </c>
      <c r="F26" s="18">
        <f t="shared" si="1"/>
        <v>0.40778939059357627</v>
      </c>
      <c r="G26" s="19" t="s">
        <v>59</v>
      </c>
    </row>
    <row r="27" spans="2:7" x14ac:dyDescent="0.2">
      <c r="B27" s="16" t="s">
        <v>503</v>
      </c>
      <c r="C27" s="17">
        <v>0</v>
      </c>
      <c r="D27" s="17">
        <v>28500</v>
      </c>
      <c r="E27" s="17">
        <f t="shared" si="0"/>
        <v>28500</v>
      </c>
      <c r="F27" s="18">
        <f t="shared" si="1"/>
        <v>0</v>
      </c>
      <c r="G27" s="19" t="s">
        <v>59</v>
      </c>
    </row>
    <row r="28" spans="2:7" x14ac:dyDescent="0.2">
      <c r="B28" s="16" t="s">
        <v>504</v>
      </c>
      <c r="C28" s="17">
        <v>177421.13</v>
      </c>
      <c r="D28" s="17">
        <v>149583.32999999999</v>
      </c>
      <c r="E28" s="17">
        <f t="shared" si="0"/>
        <v>-27837.800000000017</v>
      </c>
      <c r="F28" s="18">
        <f t="shared" si="1"/>
        <v>-0.15690239375659493</v>
      </c>
      <c r="G28" s="19" t="s">
        <v>59</v>
      </c>
    </row>
    <row r="29" spans="2:7" x14ac:dyDescent="0.2">
      <c r="B29" s="16" t="s">
        <v>505</v>
      </c>
      <c r="C29" s="17">
        <v>28761.78</v>
      </c>
      <c r="D29" s="17">
        <v>1002.06</v>
      </c>
      <c r="E29" s="17">
        <f t="shared" si="0"/>
        <v>-27759.719999999998</v>
      </c>
      <c r="F29" s="18">
        <f t="shared" si="1"/>
        <v>-0.96516001443582411</v>
      </c>
      <c r="G29" s="19" t="s">
        <v>59</v>
      </c>
    </row>
    <row r="30" spans="2:7" x14ac:dyDescent="0.2">
      <c r="B30" s="16" t="s">
        <v>506</v>
      </c>
      <c r="C30" s="17">
        <v>0</v>
      </c>
      <c r="D30" s="17">
        <v>26909.91</v>
      </c>
      <c r="E30" s="17">
        <f t="shared" si="0"/>
        <v>26909.91</v>
      </c>
      <c r="F30" s="18">
        <f t="shared" si="1"/>
        <v>0</v>
      </c>
      <c r="G30" s="19" t="s">
        <v>59</v>
      </c>
    </row>
    <row r="31" spans="2:7" x14ac:dyDescent="0.2">
      <c r="B31" s="16" t="s">
        <v>507</v>
      </c>
      <c r="C31" s="17">
        <v>0</v>
      </c>
      <c r="D31" s="17">
        <v>25045.78</v>
      </c>
      <c r="E31" s="17">
        <f t="shared" si="0"/>
        <v>25045.78</v>
      </c>
      <c r="F31" s="18">
        <f t="shared" si="1"/>
        <v>0</v>
      </c>
      <c r="G31" s="19" t="s">
        <v>59</v>
      </c>
    </row>
    <row r="32" spans="2:7" x14ac:dyDescent="0.2">
      <c r="B32" s="16" t="s">
        <v>508</v>
      </c>
      <c r="C32" s="17">
        <v>24211.83</v>
      </c>
      <c r="D32" s="17">
        <v>1023.66</v>
      </c>
      <c r="E32" s="17">
        <f t="shared" si="0"/>
        <v>-23188.170000000002</v>
      </c>
      <c r="F32" s="18">
        <f t="shared" si="1"/>
        <v>-0.95772066795446686</v>
      </c>
      <c r="G32" s="19" t="s">
        <v>59</v>
      </c>
    </row>
    <row r="33" spans="2:7" x14ac:dyDescent="0.2">
      <c r="B33" s="16" t="s">
        <v>509</v>
      </c>
      <c r="C33" s="17">
        <v>3257.95</v>
      </c>
      <c r="D33" s="17">
        <v>25703.05</v>
      </c>
      <c r="E33" s="17">
        <f t="shared" si="0"/>
        <v>22445.1</v>
      </c>
      <c r="F33" s="18">
        <f t="shared" si="1"/>
        <v>6.889332248806765</v>
      </c>
      <c r="G33" s="19" t="s">
        <v>59</v>
      </c>
    </row>
    <row r="34" spans="2:7" x14ac:dyDescent="0.2">
      <c r="B34" s="16" t="s">
        <v>510</v>
      </c>
      <c r="C34" s="17">
        <v>31344.79</v>
      </c>
      <c r="D34" s="17">
        <v>9519.44</v>
      </c>
      <c r="E34" s="17">
        <f t="shared" ref="E34:E65" si="2">D34-C34</f>
        <v>-21825.35</v>
      </c>
      <c r="F34" s="18">
        <f t="shared" ref="F34:F65" si="3">IFERROR(E34/ABS(C34),0)</f>
        <v>-0.69629912977563413</v>
      </c>
      <c r="G34" s="19" t="s">
        <v>59</v>
      </c>
    </row>
    <row r="35" spans="2:7" x14ac:dyDescent="0.2">
      <c r="B35" s="16" t="s">
        <v>511</v>
      </c>
      <c r="C35" s="17">
        <v>20993.41</v>
      </c>
      <c r="D35" s="17">
        <v>0</v>
      </c>
      <c r="E35" s="17">
        <f t="shared" si="2"/>
        <v>-20993.41</v>
      </c>
      <c r="F35" s="18">
        <f t="shared" si="3"/>
        <v>-1</v>
      </c>
      <c r="G35" s="19" t="s">
        <v>59</v>
      </c>
    </row>
    <row r="36" spans="2:7" x14ac:dyDescent="0.2">
      <c r="B36" s="16" t="s">
        <v>512</v>
      </c>
      <c r="C36" s="17">
        <v>20513.27</v>
      </c>
      <c r="D36" s="17">
        <v>0</v>
      </c>
      <c r="E36" s="17">
        <f t="shared" si="2"/>
        <v>-20513.27</v>
      </c>
      <c r="F36" s="18">
        <f t="shared" si="3"/>
        <v>-1</v>
      </c>
      <c r="G36" s="19" t="s">
        <v>59</v>
      </c>
    </row>
    <row r="37" spans="2:7" x14ac:dyDescent="0.2">
      <c r="B37" s="16" t="s">
        <v>513</v>
      </c>
      <c r="C37" s="17">
        <v>62207.15</v>
      </c>
      <c r="D37" s="17">
        <v>42495</v>
      </c>
      <c r="E37" s="17">
        <f t="shared" si="2"/>
        <v>-19712.150000000001</v>
      </c>
      <c r="F37" s="18">
        <f t="shared" si="3"/>
        <v>-0.31687916903442775</v>
      </c>
      <c r="G37" s="19" t="s">
        <v>59</v>
      </c>
    </row>
    <row r="38" spans="2:7" x14ac:dyDescent="0.2">
      <c r="B38" s="16" t="s">
        <v>514</v>
      </c>
      <c r="C38" s="17">
        <v>-0.02</v>
      </c>
      <c r="D38" s="17">
        <v>18345.45</v>
      </c>
      <c r="E38" s="17">
        <f t="shared" si="2"/>
        <v>18345.47</v>
      </c>
      <c r="F38" s="18">
        <f t="shared" si="3"/>
        <v>917273.5</v>
      </c>
      <c r="G38" s="19" t="s">
        <v>59</v>
      </c>
    </row>
    <row r="39" spans="2:7" x14ac:dyDescent="0.2">
      <c r="B39" s="16" t="s">
        <v>515</v>
      </c>
      <c r="C39" s="17">
        <v>25253.66</v>
      </c>
      <c r="D39" s="17">
        <v>7215.25</v>
      </c>
      <c r="E39" s="17">
        <f t="shared" si="2"/>
        <v>-18038.41</v>
      </c>
      <c r="F39" s="18">
        <f t="shared" si="3"/>
        <v>-0.71428893871225008</v>
      </c>
      <c r="G39" s="19" t="s">
        <v>59</v>
      </c>
    </row>
    <row r="40" spans="2:7" x14ac:dyDescent="0.2">
      <c r="B40" s="16" t="s">
        <v>516</v>
      </c>
      <c r="C40" s="17">
        <v>0</v>
      </c>
      <c r="D40" s="17">
        <v>16750</v>
      </c>
      <c r="E40" s="17">
        <f t="shared" si="2"/>
        <v>16750</v>
      </c>
      <c r="F40" s="18">
        <f t="shared" si="3"/>
        <v>0</v>
      </c>
      <c r="G40" s="19" t="s">
        <v>59</v>
      </c>
    </row>
    <row r="41" spans="2:7" x14ac:dyDescent="0.2">
      <c r="B41" s="16" t="s">
        <v>517</v>
      </c>
      <c r="C41" s="17">
        <v>19433.580000000002</v>
      </c>
      <c r="D41" s="17">
        <v>2699.26</v>
      </c>
      <c r="E41" s="17">
        <f t="shared" si="2"/>
        <v>-16734.32</v>
      </c>
      <c r="F41" s="18">
        <f t="shared" si="3"/>
        <v>-0.8611033067504803</v>
      </c>
      <c r="G41" s="19" t="s">
        <v>59</v>
      </c>
    </row>
    <row r="42" spans="2:7" x14ac:dyDescent="0.2">
      <c r="B42" s="16" t="s">
        <v>518</v>
      </c>
      <c r="C42" s="17">
        <v>144000</v>
      </c>
      <c r="D42" s="17">
        <v>160320</v>
      </c>
      <c r="E42" s="17">
        <f t="shared" si="2"/>
        <v>16320</v>
      </c>
      <c r="F42" s="18">
        <f t="shared" si="3"/>
        <v>0.11333333333333333</v>
      </c>
      <c r="G42" s="19" t="s">
        <v>59</v>
      </c>
    </row>
    <row r="43" spans="2:7" x14ac:dyDescent="0.2">
      <c r="B43" s="16" t="s">
        <v>519</v>
      </c>
      <c r="C43" s="17">
        <v>0</v>
      </c>
      <c r="D43" s="17">
        <v>15814.74</v>
      </c>
      <c r="E43" s="17">
        <f t="shared" si="2"/>
        <v>15814.74</v>
      </c>
      <c r="F43" s="18">
        <f t="shared" si="3"/>
        <v>0</v>
      </c>
      <c r="G43" s="19" t="s">
        <v>59</v>
      </c>
    </row>
    <row r="44" spans="2:7" x14ac:dyDescent="0.2">
      <c r="B44" s="16" t="s">
        <v>520</v>
      </c>
      <c r="C44" s="17">
        <v>1188.68</v>
      </c>
      <c r="D44" s="17">
        <v>16603.22</v>
      </c>
      <c r="E44" s="17">
        <f t="shared" si="2"/>
        <v>15414.54</v>
      </c>
      <c r="F44" s="18">
        <f t="shared" si="3"/>
        <v>12.967779385536899</v>
      </c>
      <c r="G44" s="19" t="s">
        <v>59</v>
      </c>
    </row>
    <row r="45" spans="2:7" x14ac:dyDescent="0.2">
      <c r="B45" s="16" t="s">
        <v>521</v>
      </c>
      <c r="C45" s="17">
        <v>25264.82</v>
      </c>
      <c r="D45" s="17">
        <v>9988.3700000000008</v>
      </c>
      <c r="E45" s="17">
        <f t="shared" si="2"/>
        <v>-15276.449999999999</v>
      </c>
      <c r="F45" s="18">
        <f t="shared" si="3"/>
        <v>-0.60465303136931114</v>
      </c>
      <c r="G45" s="19" t="s">
        <v>59</v>
      </c>
    </row>
    <row r="46" spans="2:7" x14ac:dyDescent="0.2">
      <c r="B46" s="16" t="s">
        <v>522</v>
      </c>
      <c r="C46" s="17">
        <v>1087.94</v>
      </c>
      <c r="D46" s="17">
        <v>15238.9</v>
      </c>
      <c r="E46" s="17">
        <f t="shared" si="2"/>
        <v>14150.96</v>
      </c>
      <c r="F46" s="18">
        <f t="shared" si="3"/>
        <v>13.007114362924424</v>
      </c>
      <c r="G46" s="19" t="s">
        <v>59</v>
      </c>
    </row>
    <row r="47" spans="2:7" x14ac:dyDescent="0.2">
      <c r="B47" s="16" t="s">
        <v>523</v>
      </c>
      <c r="C47" s="17">
        <v>14907.31</v>
      </c>
      <c r="D47" s="17">
        <v>1072.77</v>
      </c>
      <c r="E47" s="17">
        <f t="shared" si="2"/>
        <v>-13834.539999999999</v>
      </c>
      <c r="F47" s="18">
        <f t="shared" si="3"/>
        <v>-0.92803731860409422</v>
      </c>
      <c r="G47" s="19" t="s">
        <v>59</v>
      </c>
    </row>
    <row r="48" spans="2:7" x14ac:dyDescent="0.2">
      <c r="B48" s="16" t="s">
        <v>524</v>
      </c>
      <c r="C48" s="17">
        <v>8142.63</v>
      </c>
      <c r="D48" s="17">
        <v>21082.16</v>
      </c>
      <c r="E48" s="17">
        <f t="shared" si="2"/>
        <v>12939.529999999999</v>
      </c>
      <c r="F48" s="18">
        <f t="shared" si="3"/>
        <v>1.589109415508257</v>
      </c>
      <c r="G48" s="19" t="s">
        <v>59</v>
      </c>
    </row>
    <row r="49" spans="2:7" x14ac:dyDescent="0.2">
      <c r="B49" s="16" t="s">
        <v>525</v>
      </c>
      <c r="C49" s="17">
        <v>0</v>
      </c>
      <c r="D49" s="17">
        <v>12880</v>
      </c>
      <c r="E49" s="17">
        <f t="shared" si="2"/>
        <v>12880</v>
      </c>
      <c r="F49" s="18">
        <f t="shared" si="3"/>
        <v>0</v>
      </c>
      <c r="G49" s="19" t="s">
        <v>59</v>
      </c>
    </row>
    <row r="50" spans="2:7" x14ac:dyDescent="0.2">
      <c r="B50" s="16" t="s">
        <v>526</v>
      </c>
      <c r="C50" s="17">
        <v>15025</v>
      </c>
      <c r="D50" s="17">
        <v>2212.5</v>
      </c>
      <c r="E50" s="17">
        <f t="shared" si="2"/>
        <v>-12812.5</v>
      </c>
      <c r="F50" s="18">
        <f t="shared" si="3"/>
        <v>-0.85274542429284528</v>
      </c>
      <c r="G50" s="19" t="s">
        <v>59</v>
      </c>
    </row>
    <row r="51" spans="2:7" x14ac:dyDescent="0.2">
      <c r="B51" s="16" t="s">
        <v>527</v>
      </c>
      <c r="C51" s="17">
        <v>17039.09</v>
      </c>
      <c r="D51" s="17">
        <v>4373.2</v>
      </c>
      <c r="E51" s="17">
        <f t="shared" si="2"/>
        <v>-12665.89</v>
      </c>
      <c r="F51" s="18">
        <f t="shared" si="3"/>
        <v>-0.74334310106936463</v>
      </c>
      <c r="G51" s="19" t="s">
        <v>59</v>
      </c>
    </row>
    <row r="52" spans="2:7" x14ac:dyDescent="0.2">
      <c r="B52" s="16" t="s">
        <v>528</v>
      </c>
      <c r="C52" s="17">
        <v>3864.86</v>
      </c>
      <c r="D52" s="17">
        <v>16394.91</v>
      </c>
      <c r="E52" s="17">
        <f t="shared" si="2"/>
        <v>12530.05</v>
      </c>
      <c r="F52" s="18">
        <f t="shared" si="3"/>
        <v>3.2420449899867005</v>
      </c>
      <c r="G52" s="19" t="s">
        <v>59</v>
      </c>
    </row>
    <row r="53" spans="2:7" x14ac:dyDescent="0.2">
      <c r="B53" s="16" t="s">
        <v>529</v>
      </c>
      <c r="C53" s="17">
        <v>3700.77</v>
      </c>
      <c r="D53" s="17">
        <v>16099.82</v>
      </c>
      <c r="E53" s="17">
        <f t="shared" si="2"/>
        <v>12399.05</v>
      </c>
      <c r="F53" s="18">
        <f t="shared" si="3"/>
        <v>3.3503973497407293</v>
      </c>
      <c r="G53" s="19" t="s">
        <v>59</v>
      </c>
    </row>
    <row r="54" spans="2:7" x14ac:dyDescent="0.2">
      <c r="B54" s="16" t="s">
        <v>530</v>
      </c>
      <c r="C54" s="17">
        <v>12197.1</v>
      </c>
      <c r="D54" s="17">
        <v>0</v>
      </c>
      <c r="E54" s="17">
        <f t="shared" si="2"/>
        <v>-12197.1</v>
      </c>
      <c r="F54" s="18">
        <f t="shared" si="3"/>
        <v>-1</v>
      </c>
      <c r="G54" s="19" t="s">
        <v>59</v>
      </c>
    </row>
    <row r="55" spans="2:7" x14ac:dyDescent="0.2">
      <c r="B55" s="16" t="s">
        <v>531</v>
      </c>
      <c r="C55" s="17">
        <v>0</v>
      </c>
      <c r="D55" s="17">
        <v>11845.7</v>
      </c>
      <c r="E55" s="17">
        <f t="shared" si="2"/>
        <v>11845.7</v>
      </c>
      <c r="F55" s="18">
        <f t="shared" si="3"/>
        <v>0</v>
      </c>
      <c r="G55" s="19" t="s">
        <v>59</v>
      </c>
    </row>
    <row r="56" spans="2:7" x14ac:dyDescent="0.2">
      <c r="B56" s="16" t="s">
        <v>532</v>
      </c>
      <c r="C56" s="17">
        <v>20475.52</v>
      </c>
      <c r="D56" s="17">
        <v>8838.61</v>
      </c>
      <c r="E56" s="17">
        <f t="shared" si="2"/>
        <v>-11636.91</v>
      </c>
      <c r="F56" s="18">
        <f t="shared" si="3"/>
        <v>-0.5683328188978839</v>
      </c>
      <c r="G56" s="19" t="s">
        <v>59</v>
      </c>
    </row>
    <row r="57" spans="2:7" x14ac:dyDescent="0.2">
      <c r="B57" s="16" t="s">
        <v>533</v>
      </c>
      <c r="C57" s="17">
        <v>11334.47</v>
      </c>
      <c r="D57" s="17">
        <v>0</v>
      </c>
      <c r="E57" s="17">
        <f t="shared" si="2"/>
        <v>-11334.47</v>
      </c>
      <c r="F57" s="18">
        <f t="shared" si="3"/>
        <v>-1</v>
      </c>
      <c r="G57" s="19" t="s">
        <v>59</v>
      </c>
    </row>
    <row r="58" spans="2:7" x14ac:dyDescent="0.2">
      <c r="B58" s="16" t="s">
        <v>534</v>
      </c>
      <c r="C58" s="17">
        <v>10117</v>
      </c>
      <c r="D58" s="17">
        <v>0</v>
      </c>
      <c r="E58" s="17">
        <f t="shared" si="2"/>
        <v>-10117</v>
      </c>
      <c r="F58" s="18">
        <f t="shared" si="3"/>
        <v>-1</v>
      </c>
      <c r="G58" s="19" t="s">
        <v>59</v>
      </c>
    </row>
    <row r="59" spans="2:7" x14ac:dyDescent="0.2">
      <c r="B59" s="16" t="s">
        <v>535</v>
      </c>
      <c r="C59" s="17">
        <v>14558.91</v>
      </c>
      <c r="D59" s="17">
        <v>4658.99</v>
      </c>
      <c r="E59" s="17">
        <f t="shared" si="2"/>
        <v>-9899.92</v>
      </c>
      <c r="F59" s="18">
        <f t="shared" si="3"/>
        <v>-0.67999046631925053</v>
      </c>
      <c r="G59" s="19" t="s">
        <v>59</v>
      </c>
    </row>
    <row r="60" spans="2:7" x14ac:dyDescent="0.2">
      <c r="B60" s="16" t="s">
        <v>536</v>
      </c>
      <c r="C60" s="17">
        <v>65156.63</v>
      </c>
      <c r="D60" s="17">
        <v>55526.75</v>
      </c>
      <c r="E60" s="17">
        <f t="shared" si="2"/>
        <v>-9629.8799999999974</v>
      </c>
      <c r="F60" s="18">
        <f t="shared" si="3"/>
        <v>-0.14779585745917181</v>
      </c>
      <c r="G60" s="19" t="s">
        <v>59</v>
      </c>
    </row>
    <row r="61" spans="2:7" x14ac:dyDescent="0.2">
      <c r="B61" s="16" t="s">
        <v>537</v>
      </c>
      <c r="C61" s="17">
        <v>28808.86</v>
      </c>
      <c r="D61" s="17">
        <v>19512.05</v>
      </c>
      <c r="E61" s="17">
        <f t="shared" si="2"/>
        <v>-9296.8100000000013</v>
      </c>
      <c r="F61" s="18">
        <f t="shared" si="3"/>
        <v>-0.32270662567001962</v>
      </c>
      <c r="G61" s="19" t="s">
        <v>59</v>
      </c>
    </row>
    <row r="62" spans="2:7" x14ac:dyDescent="0.2">
      <c r="B62" s="16" t="s">
        <v>538</v>
      </c>
      <c r="C62" s="17">
        <v>27559.62</v>
      </c>
      <c r="D62" s="17">
        <v>18702.25</v>
      </c>
      <c r="E62" s="17">
        <f t="shared" si="2"/>
        <v>-8857.369999999999</v>
      </c>
      <c r="F62" s="18">
        <f t="shared" si="3"/>
        <v>-0.32138940957821621</v>
      </c>
      <c r="G62" s="19" t="s">
        <v>59</v>
      </c>
    </row>
    <row r="63" spans="2:7" x14ac:dyDescent="0.2">
      <c r="B63" s="16" t="s">
        <v>539</v>
      </c>
      <c r="C63" s="17">
        <v>15151.45</v>
      </c>
      <c r="D63" s="17">
        <v>6330.44</v>
      </c>
      <c r="E63" s="17">
        <f t="shared" si="2"/>
        <v>-8821.010000000002</v>
      </c>
      <c r="F63" s="18">
        <f t="shared" si="3"/>
        <v>-0.58218916341340277</v>
      </c>
      <c r="G63" s="19" t="s">
        <v>59</v>
      </c>
    </row>
    <row r="64" spans="2:7" x14ac:dyDescent="0.2">
      <c r="B64" s="16" t="s">
        <v>540</v>
      </c>
      <c r="C64" s="17">
        <v>14185.97</v>
      </c>
      <c r="D64" s="17">
        <v>5580.78</v>
      </c>
      <c r="E64" s="17">
        <f t="shared" si="2"/>
        <v>-8605.1899999999987</v>
      </c>
      <c r="F64" s="18">
        <f t="shared" si="3"/>
        <v>-0.60659863231065614</v>
      </c>
      <c r="G64" s="19" t="s">
        <v>59</v>
      </c>
    </row>
    <row r="65" spans="2:7" x14ac:dyDescent="0.2">
      <c r="B65" s="16" t="s">
        <v>541</v>
      </c>
      <c r="C65" s="17">
        <v>17684.72</v>
      </c>
      <c r="D65" s="17">
        <v>26256</v>
      </c>
      <c r="E65" s="17">
        <f t="shared" si="2"/>
        <v>8571.2799999999988</v>
      </c>
      <c r="F65" s="18">
        <f t="shared" si="3"/>
        <v>0.48467151303498152</v>
      </c>
      <c r="G65" s="19" t="s">
        <v>59</v>
      </c>
    </row>
    <row r="66" spans="2:7" x14ac:dyDescent="0.2">
      <c r="B66" s="16" t="s">
        <v>542</v>
      </c>
      <c r="C66" s="17">
        <v>8417.51</v>
      </c>
      <c r="D66" s="17">
        <v>0</v>
      </c>
      <c r="E66" s="17">
        <f t="shared" ref="E66:E97" si="4">D66-C66</f>
        <v>-8417.51</v>
      </c>
      <c r="F66" s="18">
        <f t="shared" ref="F66:F97" si="5">IFERROR(E66/ABS(C66),0)</f>
        <v>-1</v>
      </c>
      <c r="G66" s="19" t="s">
        <v>59</v>
      </c>
    </row>
    <row r="67" spans="2:7" x14ac:dyDescent="0.2">
      <c r="B67" s="16" t="s">
        <v>543</v>
      </c>
      <c r="C67" s="17">
        <v>10403.76</v>
      </c>
      <c r="D67" s="17">
        <v>2034.52</v>
      </c>
      <c r="E67" s="17">
        <f t="shared" si="4"/>
        <v>-8369.24</v>
      </c>
      <c r="F67" s="18">
        <f t="shared" si="5"/>
        <v>-0.80444377801871625</v>
      </c>
      <c r="G67" s="19" t="s">
        <v>59</v>
      </c>
    </row>
    <row r="68" spans="2:7" x14ac:dyDescent="0.2">
      <c r="B68" s="16" t="s">
        <v>544</v>
      </c>
      <c r="C68" s="17">
        <v>9010.7099999999991</v>
      </c>
      <c r="D68" s="17">
        <v>1067.18</v>
      </c>
      <c r="E68" s="17">
        <f t="shared" si="4"/>
        <v>-7943.5299999999988</v>
      </c>
      <c r="F68" s="18">
        <f t="shared" si="5"/>
        <v>-0.88156538164029241</v>
      </c>
      <c r="G68" s="19" t="s">
        <v>59</v>
      </c>
    </row>
    <row r="69" spans="2:7" x14ac:dyDescent="0.2">
      <c r="B69" s="16" t="s">
        <v>545</v>
      </c>
      <c r="C69" s="17">
        <v>171.45</v>
      </c>
      <c r="D69" s="17">
        <v>8073.94</v>
      </c>
      <c r="E69" s="17">
        <f t="shared" si="4"/>
        <v>7902.49</v>
      </c>
      <c r="F69" s="18">
        <f t="shared" si="5"/>
        <v>46.092096821230683</v>
      </c>
      <c r="G69" s="19" t="s">
        <v>59</v>
      </c>
    </row>
    <row r="70" spans="2:7" x14ac:dyDescent="0.2">
      <c r="B70" s="16" t="s">
        <v>546</v>
      </c>
      <c r="C70" s="17">
        <v>1835.36</v>
      </c>
      <c r="D70" s="17">
        <v>9566.0300000000007</v>
      </c>
      <c r="E70" s="17">
        <f t="shared" si="4"/>
        <v>7730.670000000001</v>
      </c>
      <c r="F70" s="18">
        <f t="shared" si="5"/>
        <v>4.2120728358469188</v>
      </c>
      <c r="G70" s="19" t="s">
        <v>59</v>
      </c>
    </row>
    <row r="71" spans="2:7" x14ac:dyDescent="0.2">
      <c r="B71" s="16" t="s">
        <v>547</v>
      </c>
      <c r="C71" s="17">
        <v>8562.85</v>
      </c>
      <c r="D71" s="17">
        <v>909.22</v>
      </c>
      <c r="E71" s="17">
        <f t="shared" si="4"/>
        <v>-7653.63</v>
      </c>
      <c r="F71" s="18">
        <f t="shared" si="5"/>
        <v>-0.89381806291129706</v>
      </c>
      <c r="G71" s="19" t="s">
        <v>59</v>
      </c>
    </row>
    <row r="72" spans="2:7" x14ac:dyDescent="0.2">
      <c r="B72" s="16" t="s">
        <v>548</v>
      </c>
      <c r="C72" s="17">
        <v>1887.9</v>
      </c>
      <c r="D72" s="17">
        <v>9485.3700000000008</v>
      </c>
      <c r="E72" s="17">
        <f t="shared" si="4"/>
        <v>7597.4700000000012</v>
      </c>
      <c r="F72" s="18">
        <f t="shared" si="5"/>
        <v>4.0242968377562374</v>
      </c>
      <c r="G72" s="19" t="s">
        <v>59</v>
      </c>
    </row>
    <row r="73" spans="2:7" x14ac:dyDescent="0.2">
      <c r="B73" s="16" t="s">
        <v>549</v>
      </c>
      <c r="C73" s="17">
        <v>727.32</v>
      </c>
      <c r="D73" s="17">
        <v>8276.99</v>
      </c>
      <c r="E73" s="17">
        <f t="shared" si="4"/>
        <v>7549.67</v>
      </c>
      <c r="F73" s="18">
        <f t="shared" si="5"/>
        <v>10.380121542099763</v>
      </c>
      <c r="G73" s="19" t="s">
        <v>59</v>
      </c>
    </row>
    <row r="74" spans="2:7" x14ac:dyDescent="0.2">
      <c r="B74" s="16" t="s">
        <v>550</v>
      </c>
      <c r="C74" s="17">
        <v>20888.93</v>
      </c>
      <c r="D74" s="17">
        <v>13450.06</v>
      </c>
      <c r="E74" s="17">
        <f t="shared" si="4"/>
        <v>-7438.8700000000008</v>
      </c>
      <c r="F74" s="18">
        <f t="shared" si="5"/>
        <v>-0.35611541615582992</v>
      </c>
      <c r="G74" s="19" t="s">
        <v>59</v>
      </c>
    </row>
    <row r="75" spans="2:7" x14ac:dyDescent="0.2">
      <c r="B75" s="16" t="s">
        <v>551</v>
      </c>
      <c r="C75" s="17">
        <v>101736.21</v>
      </c>
      <c r="D75" s="17">
        <v>108448.44</v>
      </c>
      <c r="E75" s="17">
        <f t="shared" si="4"/>
        <v>6712.2299999999959</v>
      </c>
      <c r="F75" s="18">
        <f t="shared" si="5"/>
        <v>6.59768041290313E-2</v>
      </c>
      <c r="G75" s="19" t="s">
        <v>59</v>
      </c>
    </row>
    <row r="76" spans="2:7" x14ac:dyDescent="0.2">
      <c r="B76" s="16" t="s">
        <v>552</v>
      </c>
      <c r="C76" s="17">
        <v>-6708.4</v>
      </c>
      <c r="D76" s="17">
        <v>0</v>
      </c>
      <c r="E76" s="17">
        <f t="shared" si="4"/>
        <v>6708.4</v>
      </c>
      <c r="F76" s="18">
        <f t="shared" si="5"/>
        <v>1</v>
      </c>
      <c r="G76" s="19" t="s">
        <v>59</v>
      </c>
    </row>
    <row r="77" spans="2:7" x14ac:dyDescent="0.2">
      <c r="B77" s="16" t="s">
        <v>553</v>
      </c>
      <c r="C77" s="17">
        <v>6729.49</v>
      </c>
      <c r="D77" s="17">
        <v>123.61</v>
      </c>
      <c r="E77" s="17">
        <f t="shared" si="4"/>
        <v>-6605.88</v>
      </c>
      <c r="F77" s="18">
        <f t="shared" si="5"/>
        <v>-0.98163159466764949</v>
      </c>
      <c r="G77" s="19" t="s">
        <v>59</v>
      </c>
    </row>
    <row r="78" spans="2:7" x14ac:dyDescent="0.2">
      <c r="B78" s="16" t="s">
        <v>554</v>
      </c>
      <c r="C78" s="17">
        <v>11487.07</v>
      </c>
      <c r="D78" s="17">
        <v>4881.59</v>
      </c>
      <c r="E78" s="17">
        <f t="shared" si="4"/>
        <v>-6605.48</v>
      </c>
      <c r="F78" s="18">
        <f t="shared" si="5"/>
        <v>-0.57503610581288356</v>
      </c>
      <c r="G78" s="19" t="s">
        <v>59</v>
      </c>
    </row>
    <row r="79" spans="2:7" x14ac:dyDescent="0.2">
      <c r="B79" s="16" t="s">
        <v>555</v>
      </c>
      <c r="C79" s="17">
        <v>6604.46</v>
      </c>
      <c r="D79" s="17">
        <v>0</v>
      </c>
      <c r="E79" s="17">
        <f t="shared" si="4"/>
        <v>-6604.46</v>
      </c>
      <c r="F79" s="18">
        <f t="shared" si="5"/>
        <v>-1</v>
      </c>
      <c r="G79" s="19" t="s">
        <v>59</v>
      </c>
    </row>
    <row r="80" spans="2:7" x14ac:dyDescent="0.2">
      <c r="B80" s="16" t="s">
        <v>556</v>
      </c>
      <c r="C80" s="17">
        <v>5505.07</v>
      </c>
      <c r="D80" s="17">
        <v>-1065.71</v>
      </c>
      <c r="E80" s="17">
        <f t="shared" si="4"/>
        <v>-6570.78</v>
      </c>
      <c r="F80" s="18">
        <f t="shared" si="5"/>
        <v>-1.1935870025267616</v>
      </c>
      <c r="G80" s="19" t="s">
        <v>59</v>
      </c>
    </row>
    <row r="81" spans="2:7" x14ac:dyDescent="0.2">
      <c r="B81" s="16" t="s">
        <v>557</v>
      </c>
      <c r="C81" s="17">
        <v>7914.85</v>
      </c>
      <c r="D81" s="17">
        <v>1458.31</v>
      </c>
      <c r="E81" s="17">
        <f t="shared" si="4"/>
        <v>-6456.5400000000009</v>
      </c>
      <c r="F81" s="18">
        <f t="shared" si="5"/>
        <v>-0.81575014055857031</v>
      </c>
      <c r="G81" s="19" t="s">
        <v>59</v>
      </c>
    </row>
    <row r="82" spans="2:7" x14ac:dyDescent="0.2">
      <c r="B82" s="16" t="s">
        <v>558</v>
      </c>
      <c r="C82" s="17">
        <v>8251.4500000000007</v>
      </c>
      <c r="D82" s="17">
        <v>1826</v>
      </c>
      <c r="E82" s="17">
        <f t="shared" si="4"/>
        <v>-6425.4500000000007</v>
      </c>
      <c r="F82" s="18">
        <f t="shared" si="5"/>
        <v>-0.77870556084082199</v>
      </c>
      <c r="G82" s="19" t="s">
        <v>59</v>
      </c>
    </row>
    <row r="83" spans="2:7" x14ac:dyDescent="0.2">
      <c r="B83" s="16" t="s">
        <v>559</v>
      </c>
      <c r="C83" s="17">
        <v>0</v>
      </c>
      <c r="D83" s="17">
        <v>6340.97</v>
      </c>
      <c r="E83" s="17">
        <f t="shared" si="4"/>
        <v>6340.97</v>
      </c>
      <c r="F83" s="18">
        <f t="shared" si="5"/>
        <v>0</v>
      </c>
      <c r="G83" s="19" t="s">
        <v>59</v>
      </c>
    </row>
    <row r="84" spans="2:7" x14ac:dyDescent="0.2">
      <c r="B84" s="16" t="s">
        <v>560</v>
      </c>
      <c r="C84" s="17">
        <v>0</v>
      </c>
      <c r="D84" s="17">
        <v>6335.49</v>
      </c>
      <c r="E84" s="17">
        <f t="shared" si="4"/>
        <v>6335.49</v>
      </c>
      <c r="F84" s="18">
        <f t="shared" si="5"/>
        <v>0</v>
      </c>
      <c r="G84" s="19" t="s">
        <v>59</v>
      </c>
    </row>
    <row r="85" spans="2:7" x14ac:dyDescent="0.2">
      <c r="B85" s="16" t="s">
        <v>561</v>
      </c>
      <c r="C85" s="17">
        <v>3282.23</v>
      </c>
      <c r="D85" s="17">
        <v>9460</v>
      </c>
      <c r="E85" s="17">
        <f t="shared" si="4"/>
        <v>6177.77</v>
      </c>
      <c r="F85" s="18">
        <f t="shared" si="5"/>
        <v>1.8821868059215838</v>
      </c>
      <c r="G85" s="19" t="s">
        <v>59</v>
      </c>
    </row>
    <row r="86" spans="2:7" x14ac:dyDescent="0.2">
      <c r="B86" s="16" t="s">
        <v>562</v>
      </c>
      <c r="C86" s="17">
        <v>6105</v>
      </c>
      <c r="D86" s="17">
        <v>0</v>
      </c>
      <c r="E86" s="17">
        <f t="shared" si="4"/>
        <v>-6105</v>
      </c>
      <c r="F86" s="18">
        <f t="shared" si="5"/>
        <v>-1</v>
      </c>
      <c r="G86" s="19" t="s">
        <v>59</v>
      </c>
    </row>
    <row r="87" spans="2:7" x14ac:dyDescent="0.2">
      <c r="B87" s="16" t="s">
        <v>563</v>
      </c>
      <c r="C87" s="17">
        <v>3883.36</v>
      </c>
      <c r="D87" s="17">
        <v>-2107.13</v>
      </c>
      <c r="E87" s="17">
        <f t="shared" si="4"/>
        <v>-5990.49</v>
      </c>
      <c r="F87" s="18">
        <f t="shared" si="5"/>
        <v>-1.5426048576490461</v>
      </c>
      <c r="G87" s="19" t="s">
        <v>59</v>
      </c>
    </row>
    <row r="88" spans="2:7" x14ac:dyDescent="0.2">
      <c r="B88" s="16" t="s">
        <v>564</v>
      </c>
      <c r="C88" s="17">
        <v>5656.32</v>
      </c>
      <c r="D88" s="17">
        <v>0</v>
      </c>
      <c r="E88" s="17">
        <f t="shared" si="4"/>
        <v>-5656.32</v>
      </c>
      <c r="F88" s="18">
        <f t="shared" si="5"/>
        <v>-1</v>
      </c>
      <c r="G88" s="19" t="s">
        <v>59</v>
      </c>
    </row>
    <row r="89" spans="2:7" x14ac:dyDescent="0.2">
      <c r="B89" s="16" t="s">
        <v>565</v>
      </c>
      <c r="C89" s="17">
        <v>5632.2</v>
      </c>
      <c r="D89" s="17">
        <v>221.81</v>
      </c>
      <c r="E89" s="17">
        <f t="shared" si="4"/>
        <v>-5410.3899999999994</v>
      </c>
      <c r="F89" s="18">
        <f t="shared" si="5"/>
        <v>-0.96061752068463468</v>
      </c>
      <c r="G89" s="19" t="s">
        <v>59</v>
      </c>
    </row>
    <row r="90" spans="2:7" x14ac:dyDescent="0.2">
      <c r="B90" s="16" t="s">
        <v>566</v>
      </c>
      <c r="C90" s="17">
        <v>245.81</v>
      </c>
      <c r="D90" s="17">
        <v>5501.78</v>
      </c>
      <c r="E90" s="17">
        <f t="shared" si="4"/>
        <v>5255.9699999999993</v>
      </c>
      <c r="F90" s="18">
        <f t="shared" si="5"/>
        <v>21.382246450510554</v>
      </c>
      <c r="G90" s="19" t="s">
        <v>59</v>
      </c>
    </row>
    <row r="91" spans="2:7" x14ac:dyDescent="0.2">
      <c r="B91" s="16" t="s">
        <v>567</v>
      </c>
      <c r="C91" s="17">
        <v>2900</v>
      </c>
      <c r="D91" s="17">
        <v>7993.95</v>
      </c>
      <c r="E91" s="17">
        <f t="shared" si="4"/>
        <v>5093.95</v>
      </c>
      <c r="F91" s="18">
        <f t="shared" si="5"/>
        <v>1.7565344827586207</v>
      </c>
      <c r="G91" s="19" t="s">
        <v>59</v>
      </c>
    </row>
    <row r="92" spans="2:7" x14ac:dyDescent="0.2">
      <c r="B92" s="16" t="s">
        <v>568</v>
      </c>
      <c r="C92" s="17">
        <v>7723.76</v>
      </c>
      <c r="D92" s="17">
        <v>2684.46</v>
      </c>
      <c r="E92" s="17">
        <f t="shared" si="4"/>
        <v>-5039.3</v>
      </c>
      <c r="F92" s="18">
        <f t="shared" si="5"/>
        <v>-0.6524412980206532</v>
      </c>
      <c r="G92" s="19" t="s">
        <v>59</v>
      </c>
    </row>
    <row r="93" spans="2:7" x14ac:dyDescent="0.2">
      <c r="B93" s="16" t="s">
        <v>569</v>
      </c>
      <c r="C93" s="17">
        <v>6075.1</v>
      </c>
      <c r="D93" s="17">
        <v>1039.57</v>
      </c>
      <c r="E93" s="17">
        <f t="shared" si="4"/>
        <v>-5035.5300000000007</v>
      </c>
      <c r="F93" s="18">
        <f t="shared" si="5"/>
        <v>-0.82888018304225453</v>
      </c>
      <c r="G93" s="19" t="s">
        <v>59</v>
      </c>
    </row>
    <row r="94" spans="2:7" x14ac:dyDescent="0.2">
      <c r="B94" s="16" t="s">
        <v>570</v>
      </c>
      <c r="C94" s="17">
        <v>10005.84</v>
      </c>
      <c r="D94" s="17">
        <v>15006.8</v>
      </c>
      <c r="E94" s="17">
        <f t="shared" si="4"/>
        <v>5000.9599999999991</v>
      </c>
      <c r="F94" s="18">
        <f t="shared" si="5"/>
        <v>0.49980411439719197</v>
      </c>
      <c r="G94" s="19" t="s">
        <v>59</v>
      </c>
    </row>
    <row r="95" spans="2:7" x14ac:dyDescent="0.2">
      <c r="B95" s="16" t="s">
        <v>571</v>
      </c>
      <c r="C95" s="17">
        <v>15450.83</v>
      </c>
      <c r="D95" s="17">
        <v>20439.759999999998</v>
      </c>
      <c r="E95" s="17">
        <f t="shared" si="4"/>
        <v>4988.9299999999985</v>
      </c>
      <c r="F95" s="18">
        <f t="shared" si="5"/>
        <v>0.32289074438072252</v>
      </c>
      <c r="G95" s="19" t="s">
        <v>59</v>
      </c>
    </row>
    <row r="96" spans="2:7" x14ac:dyDescent="0.2">
      <c r="B96" s="16" t="s">
        <v>572</v>
      </c>
      <c r="C96" s="17">
        <v>0</v>
      </c>
      <c r="D96" s="17">
        <v>4797.34</v>
      </c>
      <c r="E96" s="17">
        <f t="shared" si="4"/>
        <v>4797.34</v>
      </c>
      <c r="F96" s="18">
        <f t="shared" si="5"/>
        <v>0</v>
      </c>
      <c r="G96" s="19" t="s">
        <v>59</v>
      </c>
    </row>
    <row r="97" spans="2:7" x14ac:dyDescent="0.2">
      <c r="B97" s="16" t="s">
        <v>573</v>
      </c>
      <c r="C97" s="17">
        <v>0</v>
      </c>
      <c r="D97" s="17">
        <v>4790.32</v>
      </c>
      <c r="E97" s="17">
        <f t="shared" si="4"/>
        <v>4790.32</v>
      </c>
      <c r="F97" s="18">
        <f t="shared" si="5"/>
        <v>0</v>
      </c>
      <c r="G97" s="19" t="s">
        <v>59</v>
      </c>
    </row>
    <row r="98" spans="2:7" x14ac:dyDescent="0.2">
      <c r="B98" s="16" t="s">
        <v>574</v>
      </c>
      <c r="C98" s="17">
        <v>7836.4</v>
      </c>
      <c r="D98" s="17">
        <v>3067.67</v>
      </c>
      <c r="E98" s="17">
        <f t="shared" ref="E98:E129" si="6">D98-C98</f>
        <v>-4768.7299999999996</v>
      </c>
      <c r="F98" s="18">
        <f t="shared" ref="F98:F129" si="7">IFERROR(E98/ABS(C98),0)</f>
        <v>-0.60853580725843492</v>
      </c>
      <c r="G98" s="19" t="s">
        <v>59</v>
      </c>
    </row>
    <row r="99" spans="2:7" x14ac:dyDescent="0.2">
      <c r="B99" s="16" t="s">
        <v>575</v>
      </c>
      <c r="C99" s="17">
        <v>0</v>
      </c>
      <c r="D99" s="17">
        <v>4746</v>
      </c>
      <c r="E99" s="17">
        <f t="shared" si="6"/>
        <v>4746</v>
      </c>
      <c r="F99" s="18">
        <f t="shared" si="7"/>
        <v>0</v>
      </c>
      <c r="G99" s="19" t="s">
        <v>59</v>
      </c>
    </row>
    <row r="100" spans="2:7" x14ac:dyDescent="0.2">
      <c r="B100" s="16" t="s">
        <v>576</v>
      </c>
      <c r="C100" s="17">
        <v>4587.57</v>
      </c>
      <c r="D100" s="17">
        <v>0</v>
      </c>
      <c r="E100" s="17">
        <f t="shared" si="6"/>
        <v>-4587.57</v>
      </c>
      <c r="F100" s="18">
        <f t="shared" si="7"/>
        <v>-1</v>
      </c>
      <c r="G100" s="19" t="s">
        <v>59</v>
      </c>
    </row>
    <row r="101" spans="2:7" x14ac:dyDescent="0.2">
      <c r="B101" s="16" t="s">
        <v>577</v>
      </c>
      <c r="C101" s="17">
        <v>0</v>
      </c>
      <c r="D101" s="17">
        <v>4500</v>
      </c>
      <c r="E101" s="17">
        <f t="shared" si="6"/>
        <v>4500</v>
      </c>
      <c r="F101" s="18">
        <f t="shared" si="7"/>
        <v>0</v>
      </c>
      <c r="G101" s="19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1"/>
  <sheetViews>
    <sheetView topLeftCell="A9" zoomScaleNormal="100" workbookViewId="0"/>
  </sheetViews>
  <sheetFormatPr baseColWidth="10" defaultColWidth="8.6640625" defaultRowHeight="15" customHeight="1" x14ac:dyDescent="0.2"/>
  <cols>
    <col min="1" max="1" width="2" customWidth="1"/>
    <col min="2" max="2" width="35" customWidth="1"/>
    <col min="3" max="7" width="14" customWidth="1"/>
  </cols>
  <sheetData>
    <row r="1" spans="1:7" x14ac:dyDescent="0.2">
      <c r="A1" s="15"/>
      <c r="B1" s="15" t="s">
        <v>474</v>
      </c>
      <c r="C1" s="15" t="s">
        <v>475</v>
      </c>
      <c r="D1" s="15" t="s">
        <v>476</v>
      </c>
      <c r="E1" s="15" t="s">
        <v>54</v>
      </c>
      <c r="F1" s="15" t="s">
        <v>55</v>
      </c>
      <c r="G1" s="15" t="s">
        <v>477</v>
      </c>
    </row>
    <row r="2" spans="1:7" x14ac:dyDescent="0.2">
      <c r="B2" s="16" t="s">
        <v>492</v>
      </c>
      <c r="C2" s="17">
        <v>115416.01</v>
      </c>
      <c r="D2" s="17">
        <v>496611.56</v>
      </c>
      <c r="E2" s="17">
        <f t="shared" ref="E2:E33" si="0">D2-C2</f>
        <v>381195.55</v>
      </c>
      <c r="F2" s="18">
        <f t="shared" ref="F2:F33" si="1">IFERROR(E2/ABS(C2),0)</f>
        <v>3.3027961198797291</v>
      </c>
      <c r="G2" s="19" t="s">
        <v>59</v>
      </c>
    </row>
    <row r="3" spans="1:7" x14ac:dyDescent="0.2">
      <c r="B3" s="16" t="s">
        <v>578</v>
      </c>
      <c r="C3" s="17">
        <v>0</v>
      </c>
      <c r="D3" s="17">
        <v>368000</v>
      </c>
      <c r="E3" s="17">
        <f t="shared" si="0"/>
        <v>368000</v>
      </c>
      <c r="F3" s="18">
        <f t="shared" si="1"/>
        <v>0</v>
      </c>
      <c r="G3" s="19" t="s">
        <v>59</v>
      </c>
    </row>
    <row r="4" spans="1:7" x14ac:dyDescent="0.2">
      <c r="B4" s="16" t="s">
        <v>487</v>
      </c>
      <c r="C4" s="17">
        <v>382361.59999999998</v>
      </c>
      <c r="D4" s="17">
        <v>52030.19</v>
      </c>
      <c r="E4" s="17">
        <f t="shared" si="0"/>
        <v>-330331.40999999997</v>
      </c>
      <c r="F4" s="18">
        <f t="shared" si="1"/>
        <v>-0.86392412313370381</v>
      </c>
      <c r="G4" s="19" t="s">
        <v>59</v>
      </c>
    </row>
    <row r="5" spans="1:7" x14ac:dyDescent="0.2">
      <c r="B5" s="16" t="s">
        <v>481</v>
      </c>
      <c r="C5" s="17">
        <v>202379.98</v>
      </c>
      <c r="D5" s="17">
        <v>17715.73</v>
      </c>
      <c r="E5" s="17">
        <f t="shared" si="0"/>
        <v>-184664.25</v>
      </c>
      <c r="F5" s="18">
        <f t="shared" si="1"/>
        <v>-0.9124630311753168</v>
      </c>
      <c r="G5" s="19" t="s">
        <v>59</v>
      </c>
    </row>
    <row r="6" spans="1:7" x14ac:dyDescent="0.2">
      <c r="B6" s="16" t="s">
        <v>486</v>
      </c>
      <c r="C6" s="17">
        <v>148124.71</v>
      </c>
      <c r="D6" s="17">
        <v>0</v>
      </c>
      <c r="E6" s="17">
        <f t="shared" si="0"/>
        <v>-148124.71</v>
      </c>
      <c r="F6" s="18">
        <f t="shared" si="1"/>
        <v>-1</v>
      </c>
      <c r="G6" s="19" t="s">
        <v>59</v>
      </c>
    </row>
    <row r="7" spans="1:7" x14ac:dyDescent="0.2">
      <c r="B7" s="16" t="s">
        <v>478</v>
      </c>
      <c r="C7" s="17">
        <v>278489.18</v>
      </c>
      <c r="D7" s="17">
        <v>425707.25</v>
      </c>
      <c r="E7" s="17">
        <f t="shared" si="0"/>
        <v>147218.07</v>
      </c>
      <c r="F7" s="18">
        <f t="shared" si="1"/>
        <v>0.52863120211708048</v>
      </c>
      <c r="G7" s="19" t="s">
        <v>59</v>
      </c>
    </row>
    <row r="8" spans="1:7" x14ac:dyDescent="0.2">
      <c r="B8" s="16" t="s">
        <v>479</v>
      </c>
      <c r="C8" s="17">
        <v>182767.59</v>
      </c>
      <c r="D8" s="17">
        <v>63158.92</v>
      </c>
      <c r="E8" s="17">
        <f t="shared" si="0"/>
        <v>-119608.67</v>
      </c>
      <c r="F8" s="18">
        <f t="shared" si="1"/>
        <v>-0.65443041624611886</v>
      </c>
      <c r="G8" s="19" t="s">
        <v>59</v>
      </c>
    </row>
    <row r="9" spans="1:7" x14ac:dyDescent="0.2">
      <c r="B9" s="16" t="s">
        <v>480</v>
      </c>
      <c r="C9" s="17">
        <v>297443.42</v>
      </c>
      <c r="D9" s="17">
        <v>183814.11</v>
      </c>
      <c r="E9" s="17">
        <f t="shared" si="0"/>
        <v>-113629.31</v>
      </c>
      <c r="F9" s="18">
        <f t="shared" si="1"/>
        <v>-0.38201991491356574</v>
      </c>
      <c r="G9" s="19" t="s">
        <v>59</v>
      </c>
    </row>
    <row r="10" spans="1:7" x14ac:dyDescent="0.2">
      <c r="B10" s="16" t="s">
        <v>518</v>
      </c>
      <c r="C10" s="17">
        <v>160320</v>
      </c>
      <c r="D10" s="17">
        <v>47381.05</v>
      </c>
      <c r="E10" s="17">
        <f t="shared" si="0"/>
        <v>-112938.95</v>
      </c>
      <c r="F10" s="18">
        <f t="shared" si="1"/>
        <v>-0.70445951846307386</v>
      </c>
      <c r="G10" s="19" t="s">
        <v>59</v>
      </c>
    </row>
    <row r="11" spans="1:7" x14ac:dyDescent="0.2">
      <c r="B11" s="16" t="s">
        <v>506</v>
      </c>
      <c r="C11" s="17">
        <v>26909.91</v>
      </c>
      <c r="D11" s="17">
        <v>121030.57</v>
      </c>
      <c r="E11" s="17">
        <f t="shared" si="0"/>
        <v>94120.66</v>
      </c>
      <c r="F11" s="18">
        <f t="shared" si="1"/>
        <v>3.4976207649895525</v>
      </c>
      <c r="G11" s="19" t="s">
        <v>59</v>
      </c>
    </row>
    <row r="12" spans="1:7" x14ac:dyDescent="0.2">
      <c r="B12" s="16" t="s">
        <v>554</v>
      </c>
      <c r="C12" s="17">
        <v>4881.59</v>
      </c>
      <c r="D12" s="17">
        <v>88506.2</v>
      </c>
      <c r="E12" s="17">
        <f t="shared" si="0"/>
        <v>83624.61</v>
      </c>
      <c r="F12" s="18">
        <f t="shared" si="1"/>
        <v>17.130609084335227</v>
      </c>
      <c r="G12" s="19" t="s">
        <v>59</v>
      </c>
    </row>
    <row r="13" spans="1:7" x14ac:dyDescent="0.2">
      <c r="B13" s="16" t="s">
        <v>579</v>
      </c>
      <c r="C13" s="17">
        <v>0</v>
      </c>
      <c r="D13" s="17">
        <v>64412.21</v>
      </c>
      <c r="E13" s="17">
        <f t="shared" si="0"/>
        <v>64412.21</v>
      </c>
      <c r="F13" s="18">
        <f t="shared" si="1"/>
        <v>0</v>
      </c>
      <c r="G13" s="19" t="s">
        <v>59</v>
      </c>
    </row>
    <row r="14" spans="1:7" x14ac:dyDescent="0.2">
      <c r="B14" s="16" t="s">
        <v>482</v>
      </c>
      <c r="C14" s="17">
        <v>109164.46</v>
      </c>
      <c r="D14" s="17">
        <v>46342.87</v>
      </c>
      <c r="E14" s="17">
        <f t="shared" si="0"/>
        <v>-62821.590000000004</v>
      </c>
      <c r="F14" s="18">
        <f t="shared" si="1"/>
        <v>-0.57547657909909511</v>
      </c>
      <c r="G14" s="19" t="s">
        <v>59</v>
      </c>
    </row>
    <row r="15" spans="1:7" x14ac:dyDescent="0.2">
      <c r="B15" s="16" t="s">
        <v>485</v>
      </c>
      <c r="C15" s="17">
        <v>98192.52</v>
      </c>
      <c r="D15" s="17">
        <v>158211.42000000001</v>
      </c>
      <c r="E15" s="17">
        <f t="shared" si="0"/>
        <v>60018.900000000009</v>
      </c>
      <c r="F15" s="18">
        <f t="shared" si="1"/>
        <v>0.61123698627960665</v>
      </c>
      <c r="G15" s="19" t="s">
        <v>59</v>
      </c>
    </row>
    <row r="16" spans="1:7" x14ac:dyDescent="0.2">
      <c r="B16" s="16" t="s">
        <v>580</v>
      </c>
      <c r="C16" s="17">
        <v>0</v>
      </c>
      <c r="D16" s="17">
        <v>52875</v>
      </c>
      <c r="E16" s="17">
        <f t="shared" si="0"/>
        <v>52875</v>
      </c>
      <c r="F16" s="18">
        <f t="shared" si="1"/>
        <v>0</v>
      </c>
      <c r="G16" s="19" t="s">
        <v>59</v>
      </c>
    </row>
    <row r="17" spans="2:7" x14ac:dyDescent="0.2">
      <c r="B17" s="16" t="s">
        <v>538</v>
      </c>
      <c r="C17" s="17">
        <v>18702.25</v>
      </c>
      <c r="D17" s="17">
        <v>60249.43</v>
      </c>
      <c r="E17" s="17">
        <f t="shared" si="0"/>
        <v>41547.18</v>
      </c>
      <c r="F17" s="18">
        <f t="shared" si="1"/>
        <v>2.2215070379232444</v>
      </c>
      <c r="G17" s="19" t="s">
        <v>59</v>
      </c>
    </row>
    <row r="18" spans="2:7" x14ac:dyDescent="0.2">
      <c r="B18" s="16" t="s">
        <v>510</v>
      </c>
      <c r="C18" s="17">
        <v>9519.44</v>
      </c>
      <c r="D18" s="17">
        <v>50048.91</v>
      </c>
      <c r="E18" s="17">
        <f t="shared" si="0"/>
        <v>40529.47</v>
      </c>
      <c r="F18" s="18">
        <f t="shared" si="1"/>
        <v>4.2575477128906742</v>
      </c>
      <c r="G18" s="19" t="s">
        <v>59</v>
      </c>
    </row>
    <row r="19" spans="2:7" x14ac:dyDescent="0.2">
      <c r="B19" s="16" t="s">
        <v>502</v>
      </c>
      <c r="C19" s="17">
        <v>98553.69</v>
      </c>
      <c r="D19" s="17">
        <v>62155.63</v>
      </c>
      <c r="E19" s="17">
        <f t="shared" si="0"/>
        <v>-36398.060000000005</v>
      </c>
      <c r="F19" s="18">
        <f t="shared" si="1"/>
        <v>-0.36932214308769162</v>
      </c>
      <c r="G19" s="19" t="s">
        <v>59</v>
      </c>
    </row>
    <row r="20" spans="2:7" x14ac:dyDescent="0.2">
      <c r="B20" s="16" t="s">
        <v>491</v>
      </c>
      <c r="C20" s="17">
        <v>44523.59</v>
      </c>
      <c r="D20" s="17">
        <v>80795.63</v>
      </c>
      <c r="E20" s="17">
        <f t="shared" si="0"/>
        <v>36272.040000000008</v>
      </c>
      <c r="F20" s="18">
        <f t="shared" si="1"/>
        <v>0.81467015575338853</v>
      </c>
      <c r="G20" s="19" t="s">
        <v>59</v>
      </c>
    </row>
    <row r="21" spans="2:7" x14ac:dyDescent="0.2">
      <c r="B21" s="16" t="s">
        <v>528</v>
      </c>
      <c r="C21" s="17">
        <v>16394.91</v>
      </c>
      <c r="D21" s="17">
        <v>51101.38</v>
      </c>
      <c r="E21" s="17">
        <f t="shared" si="0"/>
        <v>34706.47</v>
      </c>
      <c r="F21" s="18">
        <f t="shared" si="1"/>
        <v>2.1169051858168175</v>
      </c>
      <c r="G21" s="19" t="s">
        <v>59</v>
      </c>
    </row>
    <row r="22" spans="2:7" x14ac:dyDescent="0.2">
      <c r="B22" s="16" t="s">
        <v>500</v>
      </c>
      <c r="C22" s="17">
        <v>30132.09</v>
      </c>
      <c r="D22" s="17">
        <v>0</v>
      </c>
      <c r="E22" s="17">
        <f t="shared" si="0"/>
        <v>-30132.09</v>
      </c>
      <c r="F22" s="18">
        <f t="shared" si="1"/>
        <v>-1</v>
      </c>
      <c r="G22" s="19" t="s">
        <v>59</v>
      </c>
    </row>
    <row r="23" spans="2:7" x14ac:dyDescent="0.2">
      <c r="B23" s="16" t="s">
        <v>581</v>
      </c>
      <c r="C23" s="17">
        <v>0</v>
      </c>
      <c r="D23" s="17">
        <v>29814.85</v>
      </c>
      <c r="E23" s="17">
        <f t="shared" si="0"/>
        <v>29814.85</v>
      </c>
      <c r="F23" s="18">
        <f t="shared" si="1"/>
        <v>0</v>
      </c>
      <c r="G23" s="19" t="s">
        <v>59</v>
      </c>
    </row>
    <row r="24" spans="2:7" x14ac:dyDescent="0.2">
      <c r="B24" s="16" t="s">
        <v>504</v>
      </c>
      <c r="C24" s="17">
        <v>149583.32999999999</v>
      </c>
      <c r="D24" s="17">
        <v>178610.07</v>
      </c>
      <c r="E24" s="17">
        <f t="shared" si="0"/>
        <v>29026.74000000002</v>
      </c>
      <c r="F24" s="18">
        <f t="shared" si="1"/>
        <v>0.19405063385071064</v>
      </c>
      <c r="G24" s="19" t="s">
        <v>59</v>
      </c>
    </row>
    <row r="25" spans="2:7" x14ac:dyDescent="0.2">
      <c r="B25" s="16" t="s">
        <v>498</v>
      </c>
      <c r="C25" s="17">
        <v>32498</v>
      </c>
      <c r="D25" s="17">
        <v>60996</v>
      </c>
      <c r="E25" s="17">
        <f t="shared" si="0"/>
        <v>28498</v>
      </c>
      <c r="F25" s="18">
        <f t="shared" si="1"/>
        <v>0.87691550249246109</v>
      </c>
      <c r="G25" s="19" t="s">
        <v>59</v>
      </c>
    </row>
    <row r="26" spans="2:7" x14ac:dyDescent="0.2">
      <c r="B26" s="16" t="s">
        <v>517</v>
      </c>
      <c r="C26" s="17">
        <v>2699.26</v>
      </c>
      <c r="D26" s="17">
        <v>30354.560000000001</v>
      </c>
      <c r="E26" s="17">
        <f t="shared" si="0"/>
        <v>27655.300000000003</v>
      </c>
      <c r="F26" s="18">
        <f t="shared" si="1"/>
        <v>10.245511732845298</v>
      </c>
      <c r="G26" s="19" t="s">
        <v>59</v>
      </c>
    </row>
    <row r="27" spans="2:7" x14ac:dyDescent="0.2">
      <c r="B27" s="16" t="s">
        <v>497</v>
      </c>
      <c r="C27" s="17">
        <v>33288.550000000003</v>
      </c>
      <c r="D27" s="17">
        <v>6191.82</v>
      </c>
      <c r="E27" s="17">
        <f t="shared" si="0"/>
        <v>-27096.730000000003</v>
      </c>
      <c r="F27" s="18">
        <f t="shared" si="1"/>
        <v>-0.81399550295822443</v>
      </c>
      <c r="G27" s="19" t="s">
        <v>59</v>
      </c>
    </row>
    <row r="28" spans="2:7" x14ac:dyDescent="0.2">
      <c r="B28" s="16" t="s">
        <v>582</v>
      </c>
      <c r="C28" s="17">
        <v>0</v>
      </c>
      <c r="D28" s="17">
        <v>23703.95</v>
      </c>
      <c r="E28" s="17">
        <f t="shared" si="0"/>
        <v>23703.95</v>
      </c>
      <c r="F28" s="18">
        <f t="shared" si="1"/>
        <v>0</v>
      </c>
      <c r="G28" s="19" t="s">
        <v>59</v>
      </c>
    </row>
    <row r="29" spans="2:7" x14ac:dyDescent="0.2">
      <c r="B29" s="16" t="s">
        <v>545</v>
      </c>
      <c r="C29" s="17">
        <v>8073.94</v>
      </c>
      <c r="D29" s="17">
        <v>31079.39</v>
      </c>
      <c r="E29" s="17">
        <f t="shared" si="0"/>
        <v>23005.45</v>
      </c>
      <c r="F29" s="18">
        <f t="shared" si="1"/>
        <v>2.849346168041873</v>
      </c>
      <c r="G29" s="19" t="s">
        <v>59</v>
      </c>
    </row>
    <row r="30" spans="2:7" x14ac:dyDescent="0.2">
      <c r="B30" s="16" t="s">
        <v>503</v>
      </c>
      <c r="C30" s="17">
        <v>28500</v>
      </c>
      <c r="D30" s="17">
        <v>6250</v>
      </c>
      <c r="E30" s="17">
        <f t="shared" si="0"/>
        <v>-22250</v>
      </c>
      <c r="F30" s="18">
        <f t="shared" si="1"/>
        <v>-0.7807017543859649</v>
      </c>
      <c r="G30" s="19" t="s">
        <v>59</v>
      </c>
    </row>
    <row r="31" spans="2:7" x14ac:dyDescent="0.2">
      <c r="B31" s="16" t="s">
        <v>509</v>
      </c>
      <c r="C31" s="17">
        <v>25703.05</v>
      </c>
      <c r="D31" s="17">
        <v>3951.69</v>
      </c>
      <c r="E31" s="17">
        <f t="shared" si="0"/>
        <v>-21751.360000000001</v>
      </c>
      <c r="F31" s="18">
        <f t="shared" si="1"/>
        <v>-0.84625598907522648</v>
      </c>
      <c r="G31" s="19" t="s">
        <v>59</v>
      </c>
    </row>
    <row r="32" spans="2:7" x14ac:dyDescent="0.2">
      <c r="B32" s="16" t="s">
        <v>583</v>
      </c>
      <c r="C32" s="17">
        <v>0</v>
      </c>
      <c r="D32" s="17">
        <v>20859.87</v>
      </c>
      <c r="E32" s="17">
        <f t="shared" si="0"/>
        <v>20859.87</v>
      </c>
      <c r="F32" s="18">
        <f t="shared" si="1"/>
        <v>0</v>
      </c>
      <c r="G32" s="19" t="s">
        <v>59</v>
      </c>
    </row>
    <row r="33" spans="2:7" x14ac:dyDescent="0.2">
      <c r="B33" s="16" t="s">
        <v>584</v>
      </c>
      <c r="C33" s="17">
        <v>0</v>
      </c>
      <c r="D33" s="17">
        <v>20086.36</v>
      </c>
      <c r="E33" s="17">
        <f t="shared" si="0"/>
        <v>20086.36</v>
      </c>
      <c r="F33" s="18">
        <f t="shared" si="1"/>
        <v>0</v>
      </c>
      <c r="G33" s="19" t="s">
        <v>59</v>
      </c>
    </row>
    <row r="34" spans="2:7" x14ac:dyDescent="0.2">
      <c r="B34" s="16" t="s">
        <v>488</v>
      </c>
      <c r="C34" s="17">
        <v>226357.75</v>
      </c>
      <c r="D34" s="17">
        <v>206457.86</v>
      </c>
      <c r="E34" s="17">
        <f t="shared" ref="E34:E65" si="2">D34-C34</f>
        <v>-19899.890000000014</v>
      </c>
      <c r="F34" s="18">
        <f t="shared" ref="F34:F65" si="3">IFERROR(E34/ABS(C34),0)</f>
        <v>-8.7913446745251769E-2</v>
      </c>
      <c r="G34" s="19" t="s">
        <v>59</v>
      </c>
    </row>
    <row r="35" spans="2:7" x14ac:dyDescent="0.2">
      <c r="B35" s="16" t="s">
        <v>585</v>
      </c>
      <c r="C35" s="17">
        <v>814.28</v>
      </c>
      <c r="D35" s="17">
        <v>19527.43</v>
      </c>
      <c r="E35" s="17">
        <f t="shared" si="2"/>
        <v>18713.150000000001</v>
      </c>
      <c r="F35" s="18">
        <f t="shared" si="3"/>
        <v>22.981222675246848</v>
      </c>
      <c r="G35" s="19" t="s">
        <v>59</v>
      </c>
    </row>
    <row r="36" spans="2:7" x14ac:dyDescent="0.2">
      <c r="B36" s="16" t="s">
        <v>586</v>
      </c>
      <c r="C36" s="17">
        <v>2967.81</v>
      </c>
      <c r="D36" s="17">
        <v>21674.53</v>
      </c>
      <c r="E36" s="17">
        <f t="shared" si="2"/>
        <v>18706.719999999998</v>
      </c>
      <c r="F36" s="18">
        <f t="shared" si="3"/>
        <v>6.3032067416714677</v>
      </c>
      <c r="G36" s="19" t="s">
        <v>59</v>
      </c>
    </row>
    <row r="37" spans="2:7" x14ac:dyDescent="0.2">
      <c r="B37" s="16" t="s">
        <v>587</v>
      </c>
      <c r="C37" s="17">
        <v>0</v>
      </c>
      <c r="D37" s="17">
        <v>18368.560000000001</v>
      </c>
      <c r="E37" s="17">
        <f t="shared" si="2"/>
        <v>18368.560000000001</v>
      </c>
      <c r="F37" s="18">
        <f t="shared" si="3"/>
        <v>0</v>
      </c>
      <c r="G37" s="19" t="s">
        <v>59</v>
      </c>
    </row>
    <row r="38" spans="2:7" x14ac:dyDescent="0.2">
      <c r="B38" s="16" t="s">
        <v>514</v>
      </c>
      <c r="C38" s="17">
        <v>18345.45</v>
      </c>
      <c r="D38" s="17">
        <v>0.01</v>
      </c>
      <c r="E38" s="17">
        <f t="shared" si="2"/>
        <v>-18345.440000000002</v>
      </c>
      <c r="F38" s="18">
        <f t="shared" si="3"/>
        <v>-0.9999994549057124</v>
      </c>
      <c r="G38" s="19" t="s">
        <v>59</v>
      </c>
    </row>
    <row r="39" spans="2:7" x14ac:dyDescent="0.2">
      <c r="B39" s="16" t="s">
        <v>494</v>
      </c>
      <c r="C39" s="17">
        <v>118495.28</v>
      </c>
      <c r="D39" s="17">
        <v>136325.6</v>
      </c>
      <c r="E39" s="17">
        <f t="shared" si="2"/>
        <v>17830.320000000007</v>
      </c>
      <c r="F39" s="18">
        <f t="shared" si="3"/>
        <v>0.15047282895993838</v>
      </c>
      <c r="G39" s="19" t="s">
        <v>59</v>
      </c>
    </row>
    <row r="40" spans="2:7" x14ac:dyDescent="0.2">
      <c r="B40" s="16" t="s">
        <v>588</v>
      </c>
      <c r="C40" s="17">
        <v>16570.849999999999</v>
      </c>
      <c r="D40" s="17">
        <v>-134.69999999999999</v>
      </c>
      <c r="E40" s="17">
        <f t="shared" si="2"/>
        <v>-16705.55</v>
      </c>
      <c r="F40" s="18">
        <f t="shared" si="3"/>
        <v>-1.0081287320807322</v>
      </c>
      <c r="G40" s="19" t="s">
        <v>59</v>
      </c>
    </row>
    <row r="41" spans="2:7" x14ac:dyDescent="0.2">
      <c r="B41" s="16" t="s">
        <v>520</v>
      </c>
      <c r="C41" s="17">
        <v>16603.22</v>
      </c>
      <c r="D41" s="17">
        <v>11.26</v>
      </c>
      <c r="E41" s="17">
        <f t="shared" si="2"/>
        <v>-16591.960000000003</v>
      </c>
      <c r="F41" s="18">
        <f t="shared" si="3"/>
        <v>-0.99932181829789657</v>
      </c>
      <c r="G41" s="19" t="s">
        <v>59</v>
      </c>
    </row>
    <row r="42" spans="2:7" x14ac:dyDescent="0.2">
      <c r="B42" s="16" t="s">
        <v>536</v>
      </c>
      <c r="C42" s="17">
        <v>55526.75</v>
      </c>
      <c r="D42" s="17">
        <v>71481.59</v>
      </c>
      <c r="E42" s="17">
        <f t="shared" si="2"/>
        <v>15954.839999999997</v>
      </c>
      <c r="F42" s="18">
        <f t="shared" si="3"/>
        <v>0.28733610376980456</v>
      </c>
      <c r="G42" s="19" t="s">
        <v>59</v>
      </c>
    </row>
    <row r="43" spans="2:7" x14ac:dyDescent="0.2">
      <c r="B43" s="16" t="s">
        <v>519</v>
      </c>
      <c r="C43" s="17">
        <v>15814.74</v>
      </c>
      <c r="D43" s="17">
        <v>0</v>
      </c>
      <c r="E43" s="17">
        <f t="shared" si="2"/>
        <v>-15814.74</v>
      </c>
      <c r="F43" s="18">
        <f t="shared" si="3"/>
        <v>-1</v>
      </c>
      <c r="G43" s="19" t="s">
        <v>59</v>
      </c>
    </row>
    <row r="44" spans="2:7" x14ac:dyDescent="0.2">
      <c r="B44" s="16" t="s">
        <v>589</v>
      </c>
      <c r="C44" s="17">
        <v>1606.2</v>
      </c>
      <c r="D44" s="17">
        <v>16212</v>
      </c>
      <c r="E44" s="17">
        <f t="shared" si="2"/>
        <v>14605.8</v>
      </c>
      <c r="F44" s="18">
        <f t="shared" si="3"/>
        <v>9.0933881210310048</v>
      </c>
      <c r="G44" s="19" t="s">
        <v>59</v>
      </c>
    </row>
    <row r="45" spans="2:7" x14ac:dyDescent="0.2">
      <c r="B45" s="16" t="s">
        <v>590</v>
      </c>
      <c r="C45" s="17">
        <v>0</v>
      </c>
      <c r="D45" s="17">
        <v>13650</v>
      </c>
      <c r="E45" s="17">
        <f t="shared" si="2"/>
        <v>13650</v>
      </c>
      <c r="F45" s="18">
        <f t="shared" si="3"/>
        <v>0</v>
      </c>
      <c r="G45" s="19" t="s">
        <v>59</v>
      </c>
    </row>
    <row r="46" spans="2:7" x14ac:dyDescent="0.2">
      <c r="B46" s="16" t="s">
        <v>537</v>
      </c>
      <c r="C46" s="17">
        <v>19512.05</v>
      </c>
      <c r="D46" s="17">
        <v>6638.62</v>
      </c>
      <c r="E46" s="17">
        <f t="shared" si="2"/>
        <v>-12873.43</v>
      </c>
      <c r="F46" s="18">
        <f t="shared" si="3"/>
        <v>-0.65976819452594682</v>
      </c>
      <c r="G46" s="19" t="s">
        <v>59</v>
      </c>
    </row>
    <row r="47" spans="2:7" x14ac:dyDescent="0.2">
      <c r="B47" s="16" t="s">
        <v>529</v>
      </c>
      <c r="C47" s="17">
        <v>16099.82</v>
      </c>
      <c r="D47" s="17">
        <v>3412.82</v>
      </c>
      <c r="E47" s="17">
        <f t="shared" si="2"/>
        <v>-12687</v>
      </c>
      <c r="F47" s="18">
        <f t="shared" si="3"/>
        <v>-0.78802123253551903</v>
      </c>
      <c r="G47" s="19" t="s">
        <v>59</v>
      </c>
    </row>
    <row r="48" spans="2:7" x14ac:dyDescent="0.2">
      <c r="B48" s="16" t="s">
        <v>513</v>
      </c>
      <c r="C48" s="17">
        <v>42495</v>
      </c>
      <c r="D48" s="17">
        <v>30836.25</v>
      </c>
      <c r="E48" s="17">
        <f t="shared" si="2"/>
        <v>-11658.75</v>
      </c>
      <c r="F48" s="18">
        <f t="shared" si="3"/>
        <v>-0.27435580656547831</v>
      </c>
      <c r="G48" s="19" t="s">
        <v>59</v>
      </c>
    </row>
    <row r="49" spans="2:7" x14ac:dyDescent="0.2">
      <c r="B49" s="16" t="s">
        <v>522</v>
      </c>
      <c r="C49" s="17">
        <v>15238.9</v>
      </c>
      <c r="D49" s="17">
        <v>4777.37</v>
      </c>
      <c r="E49" s="17">
        <f t="shared" si="2"/>
        <v>-10461.529999999999</v>
      </c>
      <c r="F49" s="18">
        <f t="shared" si="3"/>
        <v>-0.68650165038158917</v>
      </c>
      <c r="G49" s="19" t="s">
        <v>59</v>
      </c>
    </row>
    <row r="50" spans="2:7" x14ac:dyDescent="0.2">
      <c r="B50" s="16" t="s">
        <v>550</v>
      </c>
      <c r="C50" s="17">
        <v>13450.06</v>
      </c>
      <c r="D50" s="17">
        <v>23828.02</v>
      </c>
      <c r="E50" s="17">
        <f t="shared" si="2"/>
        <v>10377.960000000001</v>
      </c>
      <c r="F50" s="18">
        <f t="shared" si="3"/>
        <v>0.77159209698692799</v>
      </c>
      <c r="G50" s="19" t="s">
        <v>59</v>
      </c>
    </row>
    <row r="51" spans="2:7" x14ac:dyDescent="0.2">
      <c r="B51" s="16" t="s">
        <v>551</v>
      </c>
      <c r="C51" s="17">
        <v>108448.44</v>
      </c>
      <c r="D51" s="17">
        <v>118243.54</v>
      </c>
      <c r="E51" s="17">
        <f t="shared" si="2"/>
        <v>9795.0999999999913</v>
      </c>
      <c r="F51" s="18">
        <f t="shared" si="3"/>
        <v>9.0320340246480182E-2</v>
      </c>
      <c r="G51" s="19" t="s">
        <v>59</v>
      </c>
    </row>
    <row r="52" spans="2:7" x14ac:dyDescent="0.2">
      <c r="B52" s="16" t="s">
        <v>591</v>
      </c>
      <c r="C52" s="17">
        <v>0</v>
      </c>
      <c r="D52" s="17">
        <v>9730.93</v>
      </c>
      <c r="E52" s="17">
        <f t="shared" si="2"/>
        <v>9730.93</v>
      </c>
      <c r="F52" s="18">
        <f t="shared" si="3"/>
        <v>0</v>
      </c>
      <c r="G52" s="19" t="s">
        <v>59</v>
      </c>
    </row>
    <row r="53" spans="2:7" x14ac:dyDescent="0.2">
      <c r="B53" s="16" t="s">
        <v>507</v>
      </c>
      <c r="C53" s="17">
        <v>25045.78</v>
      </c>
      <c r="D53" s="17">
        <v>15593.2</v>
      </c>
      <c r="E53" s="17">
        <f t="shared" si="2"/>
        <v>-9452.5799999999981</v>
      </c>
      <c r="F53" s="18">
        <f t="shared" si="3"/>
        <v>-0.377412082993622</v>
      </c>
      <c r="G53" s="19" t="s">
        <v>59</v>
      </c>
    </row>
    <row r="54" spans="2:7" x14ac:dyDescent="0.2">
      <c r="B54" s="16" t="s">
        <v>592</v>
      </c>
      <c r="C54" s="17">
        <v>2109.41</v>
      </c>
      <c r="D54" s="17">
        <v>11194.93</v>
      </c>
      <c r="E54" s="17">
        <f t="shared" si="2"/>
        <v>9085.52</v>
      </c>
      <c r="F54" s="18">
        <f t="shared" si="3"/>
        <v>4.3071380148951608</v>
      </c>
      <c r="G54" s="19" t="s">
        <v>59</v>
      </c>
    </row>
    <row r="55" spans="2:7" x14ac:dyDescent="0.2">
      <c r="B55" s="16" t="s">
        <v>521</v>
      </c>
      <c r="C55" s="17">
        <v>9988.3700000000008</v>
      </c>
      <c r="D55" s="17">
        <v>1004.38</v>
      </c>
      <c r="E55" s="17">
        <f t="shared" si="2"/>
        <v>-8983.9900000000016</v>
      </c>
      <c r="F55" s="18">
        <f t="shared" si="3"/>
        <v>-0.89944505459849811</v>
      </c>
      <c r="G55" s="19" t="s">
        <v>59</v>
      </c>
    </row>
    <row r="56" spans="2:7" x14ac:dyDescent="0.2">
      <c r="B56" s="16" t="s">
        <v>532</v>
      </c>
      <c r="C56" s="17">
        <v>8838.61</v>
      </c>
      <c r="D56" s="17">
        <v>0</v>
      </c>
      <c r="E56" s="17">
        <f t="shared" si="2"/>
        <v>-8838.61</v>
      </c>
      <c r="F56" s="18">
        <f t="shared" si="3"/>
        <v>-1</v>
      </c>
      <c r="G56" s="19" t="s">
        <v>59</v>
      </c>
    </row>
    <row r="57" spans="2:7" x14ac:dyDescent="0.2">
      <c r="B57" s="16" t="s">
        <v>524</v>
      </c>
      <c r="C57" s="17">
        <v>21082.16</v>
      </c>
      <c r="D57" s="17">
        <v>29222.02</v>
      </c>
      <c r="E57" s="17">
        <f t="shared" si="2"/>
        <v>8139.8600000000006</v>
      </c>
      <c r="F57" s="18">
        <f t="shared" si="3"/>
        <v>0.38610180361025631</v>
      </c>
      <c r="G57" s="19" t="s">
        <v>59</v>
      </c>
    </row>
    <row r="58" spans="2:7" x14ac:dyDescent="0.2">
      <c r="B58" s="16" t="s">
        <v>593</v>
      </c>
      <c r="C58" s="17">
        <v>14849.32</v>
      </c>
      <c r="D58" s="17">
        <v>6723</v>
      </c>
      <c r="E58" s="17">
        <f t="shared" si="2"/>
        <v>-8126.32</v>
      </c>
      <c r="F58" s="18">
        <f t="shared" si="3"/>
        <v>-0.54725199537756608</v>
      </c>
      <c r="G58" s="19" t="s">
        <v>59</v>
      </c>
    </row>
    <row r="59" spans="2:7" x14ac:dyDescent="0.2">
      <c r="B59" s="16" t="s">
        <v>594</v>
      </c>
      <c r="C59" s="17">
        <v>16469.080000000002</v>
      </c>
      <c r="D59" s="17">
        <v>24434.02</v>
      </c>
      <c r="E59" s="17">
        <f t="shared" si="2"/>
        <v>7964.9399999999987</v>
      </c>
      <c r="F59" s="18">
        <f t="shared" si="3"/>
        <v>0.48362992954069067</v>
      </c>
      <c r="G59" s="19" t="s">
        <v>59</v>
      </c>
    </row>
    <row r="60" spans="2:7" x14ac:dyDescent="0.2">
      <c r="B60" s="16" t="s">
        <v>595</v>
      </c>
      <c r="C60" s="17">
        <v>267.47000000000003</v>
      </c>
      <c r="D60" s="17">
        <v>8080.56</v>
      </c>
      <c r="E60" s="17">
        <f t="shared" si="2"/>
        <v>7813.09</v>
      </c>
      <c r="F60" s="18">
        <f t="shared" si="3"/>
        <v>29.211089094104008</v>
      </c>
      <c r="G60" s="19" t="s">
        <v>59</v>
      </c>
    </row>
    <row r="61" spans="2:7" x14ac:dyDescent="0.2">
      <c r="B61" s="16" t="s">
        <v>516</v>
      </c>
      <c r="C61" s="17">
        <v>16750</v>
      </c>
      <c r="D61" s="17">
        <v>9031</v>
      </c>
      <c r="E61" s="17">
        <f t="shared" si="2"/>
        <v>-7719</v>
      </c>
      <c r="F61" s="18">
        <f t="shared" si="3"/>
        <v>-0.46083582089552239</v>
      </c>
      <c r="G61" s="19" t="s">
        <v>59</v>
      </c>
    </row>
    <row r="62" spans="2:7" x14ac:dyDescent="0.2">
      <c r="B62" s="16" t="s">
        <v>596</v>
      </c>
      <c r="C62" s="17">
        <v>8763.14</v>
      </c>
      <c r="D62" s="17">
        <v>16469.560000000001</v>
      </c>
      <c r="E62" s="17">
        <f t="shared" si="2"/>
        <v>7706.4200000000019</v>
      </c>
      <c r="F62" s="18">
        <f t="shared" si="3"/>
        <v>0.87941308708978772</v>
      </c>
      <c r="G62" s="19" t="s">
        <v>59</v>
      </c>
    </row>
    <row r="63" spans="2:7" x14ac:dyDescent="0.2">
      <c r="B63" s="16" t="s">
        <v>597</v>
      </c>
      <c r="C63" s="17">
        <v>2714.4</v>
      </c>
      <c r="D63" s="17">
        <v>10365.620000000001</v>
      </c>
      <c r="E63" s="17">
        <f t="shared" si="2"/>
        <v>7651.2200000000012</v>
      </c>
      <c r="F63" s="18">
        <f t="shared" si="3"/>
        <v>2.8187518420277042</v>
      </c>
      <c r="G63" s="19" t="s">
        <v>59</v>
      </c>
    </row>
    <row r="64" spans="2:7" x14ac:dyDescent="0.2">
      <c r="B64" s="16" t="s">
        <v>499</v>
      </c>
      <c r="C64" s="17">
        <v>165108.96</v>
      </c>
      <c r="D64" s="17">
        <v>172653.97</v>
      </c>
      <c r="E64" s="17">
        <f t="shared" si="2"/>
        <v>7545.0100000000093</v>
      </c>
      <c r="F64" s="18">
        <f t="shared" si="3"/>
        <v>4.569715659283427E-2</v>
      </c>
      <c r="G64" s="19" t="s">
        <v>59</v>
      </c>
    </row>
    <row r="65" spans="2:7" x14ac:dyDescent="0.2">
      <c r="B65" s="16" t="s">
        <v>549</v>
      </c>
      <c r="C65" s="17">
        <v>8276.99</v>
      </c>
      <c r="D65" s="17">
        <v>1027.3800000000001</v>
      </c>
      <c r="E65" s="17">
        <f t="shared" si="2"/>
        <v>-7249.61</v>
      </c>
      <c r="F65" s="18">
        <f t="shared" si="3"/>
        <v>-0.87587516718033964</v>
      </c>
      <c r="G65" s="19" t="s">
        <v>59</v>
      </c>
    </row>
    <row r="66" spans="2:7" x14ac:dyDescent="0.2">
      <c r="B66" s="16" t="s">
        <v>548</v>
      </c>
      <c r="C66" s="17">
        <v>9485.3700000000008</v>
      </c>
      <c r="D66" s="17">
        <v>2439.9899999999998</v>
      </c>
      <c r="E66" s="17">
        <f t="shared" ref="E66:E97" si="4">D66-C66</f>
        <v>-7045.380000000001</v>
      </c>
      <c r="F66" s="18">
        <f t="shared" ref="F66:F97" si="5">IFERROR(E66/ABS(C66),0)</f>
        <v>-0.74276280208362988</v>
      </c>
      <c r="G66" s="19" t="s">
        <v>59</v>
      </c>
    </row>
    <row r="67" spans="2:7" x14ac:dyDescent="0.2">
      <c r="B67" s="16" t="s">
        <v>598</v>
      </c>
      <c r="C67" s="17">
        <v>0</v>
      </c>
      <c r="D67" s="17">
        <v>6841.53</v>
      </c>
      <c r="E67" s="17">
        <f t="shared" si="4"/>
        <v>6841.53</v>
      </c>
      <c r="F67" s="18">
        <f t="shared" si="5"/>
        <v>0</v>
      </c>
      <c r="G67" s="19" t="s">
        <v>59</v>
      </c>
    </row>
    <row r="68" spans="2:7" x14ac:dyDescent="0.2">
      <c r="B68" s="16" t="s">
        <v>567</v>
      </c>
      <c r="C68" s="17">
        <v>7993.95</v>
      </c>
      <c r="D68" s="17">
        <v>14832.45</v>
      </c>
      <c r="E68" s="17">
        <f t="shared" si="4"/>
        <v>6838.5000000000009</v>
      </c>
      <c r="F68" s="18">
        <f t="shared" si="5"/>
        <v>0.85545944120240947</v>
      </c>
      <c r="G68" s="19" t="s">
        <v>59</v>
      </c>
    </row>
    <row r="69" spans="2:7" x14ac:dyDescent="0.2">
      <c r="B69" s="16" t="s">
        <v>599</v>
      </c>
      <c r="C69" s="17">
        <v>0</v>
      </c>
      <c r="D69" s="17">
        <v>6478.19</v>
      </c>
      <c r="E69" s="17">
        <f t="shared" si="4"/>
        <v>6478.19</v>
      </c>
      <c r="F69" s="18">
        <f t="shared" si="5"/>
        <v>0</v>
      </c>
      <c r="G69" s="19" t="s">
        <v>59</v>
      </c>
    </row>
    <row r="70" spans="2:7" x14ac:dyDescent="0.2">
      <c r="B70" s="16" t="s">
        <v>559</v>
      </c>
      <c r="C70" s="17">
        <v>6340.97</v>
      </c>
      <c r="D70" s="17">
        <v>0</v>
      </c>
      <c r="E70" s="17">
        <f t="shared" si="4"/>
        <v>-6340.97</v>
      </c>
      <c r="F70" s="18">
        <f t="shared" si="5"/>
        <v>-1</v>
      </c>
      <c r="G70" s="19" t="s">
        <v>59</v>
      </c>
    </row>
    <row r="71" spans="2:7" x14ac:dyDescent="0.2">
      <c r="B71" s="16" t="s">
        <v>539</v>
      </c>
      <c r="C71" s="17">
        <v>6330.44</v>
      </c>
      <c r="D71" s="17">
        <v>0</v>
      </c>
      <c r="E71" s="17">
        <f t="shared" si="4"/>
        <v>-6330.44</v>
      </c>
      <c r="F71" s="18">
        <f t="shared" si="5"/>
        <v>-1</v>
      </c>
      <c r="G71" s="19" t="s">
        <v>59</v>
      </c>
    </row>
    <row r="72" spans="2:7" x14ac:dyDescent="0.2">
      <c r="B72" s="16" t="s">
        <v>600</v>
      </c>
      <c r="C72" s="17">
        <v>0</v>
      </c>
      <c r="D72" s="17">
        <v>6121.77</v>
      </c>
      <c r="E72" s="17">
        <f t="shared" si="4"/>
        <v>6121.77</v>
      </c>
      <c r="F72" s="18">
        <f t="shared" si="5"/>
        <v>0</v>
      </c>
      <c r="G72" s="19" t="s">
        <v>59</v>
      </c>
    </row>
    <row r="73" spans="2:7" x14ac:dyDescent="0.2">
      <c r="B73" s="16" t="s">
        <v>560</v>
      </c>
      <c r="C73" s="17">
        <v>6335.49</v>
      </c>
      <c r="D73" s="17">
        <v>386.42</v>
      </c>
      <c r="E73" s="17">
        <f t="shared" si="4"/>
        <v>-5949.07</v>
      </c>
      <c r="F73" s="18">
        <f t="shared" si="5"/>
        <v>-0.93900708548194378</v>
      </c>
      <c r="G73" s="19" t="s">
        <v>59</v>
      </c>
    </row>
    <row r="74" spans="2:7" x14ac:dyDescent="0.2">
      <c r="B74" s="16" t="s">
        <v>601</v>
      </c>
      <c r="C74" s="17">
        <v>0</v>
      </c>
      <c r="D74" s="17">
        <v>5939.39</v>
      </c>
      <c r="E74" s="17">
        <f t="shared" si="4"/>
        <v>5939.39</v>
      </c>
      <c r="F74" s="18">
        <f t="shared" si="5"/>
        <v>0</v>
      </c>
      <c r="G74" s="19" t="s">
        <v>59</v>
      </c>
    </row>
    <row r="75" spans="2:7" x14ac:dyDescent="0.2">
      <c r="B75" s="16" t="s">
        <v>602</v>
      </c>
      <c r="C75" s="17">
        <v>36804.36</v>
      </c>
      <c r="D75" s="17">
        <v>42493.26</v>
      </c>
      <c r="E75" s="17">
        <f t="shared" si="4"/>
        <v>5688.9000000000015</v>
      </c>
      <c r="F75" s="18">
        <f t="shared" si="5"/>
        <v>0.15457136056706328</v>
      </c>
      <c r="G75" s="19" t="s">
        <v>59</v>
      </c>
    </row>
    <row r="76" spans="2:7" x14ac:dyDescent="0.2">
      <c r="B76" s="16" t="s">
        <v>603</v>
      </c>
      <c r="C76" s="17">
        <v>6768.29</v>
      </c>
      <c r="D76" s="17">
        <v>1266.2</v>
      </c>
      <c r="E76" s="17">
        <f t="shared" si="4"/>
        <v>-5502.09</v>
      </c>
      <c r="F76" s="18">
        <f t="shared" si="5"/>
        <v>-0.81292172764464887</v>
      </c>
      <c r="G76" s="19" t="s">
        <v>59</v>
      </c>
    </row>
    <row r="77" spans="2:7" x14ac:dyDescent="0.2">
      <c r="B77" s="16" t="s">
        <v>566</v>
      </c>
      <c r="C77" s="17">
        <v>5501.78</v>
      </c>
      <c r="D77" s="17">
        <v>0</v>
      </c>
      <c r="E77" s="17">
        <f t="shared" si="4"/>
        <v>-5501.78</v>
      </c>
      <c r="F77" s="18">
        <f t="shared" si="5"/>
        <v>-1</v>
      </c>
      <c r="G77" s="19" t="s">
        <v>59</v>
      </c>
    </row>
    <row r="78" spans="2:7" x14ac:dyDescent="0.2">
      <c r="B78" s="16" t="s">
        <v>531</v>
      </c>
      <c r="C78" s="17">
        <v>11845.7</v>
      </c>
      <c r="D78" s="17">
        <v>6460.25</v>
      </c>
      <c r="E78" s="17">
        <f t="shared" si="4"/>
        <v>-5385.4500000000007</v>
      </c>
      <c r="F78" s="18">
        <f t="shared" si="5"/>
        <v>-0.45463332686122393</v>
      </c>
      <c r="G78" s="19" t="s">
        <v>59</v>
      </c>
    </row>
    <row r="79" spans="2:7" x14ac:dyDescent="0.2">
      <c r="B79" s="16" t="s">
        <v>604</v>
      </c>
      <c r="C79" s="17">
        <v>431.76</v>
      </c>
      <c r="D79" s="17">
        <v>5625.85</v>
      </c>
      <c r="E79" s="17">
        <f t="shared" si="4"/>
        <v>5194.09</v>
      </c>
      <c r="F79" s="18">
        <f t="shared" si="5"/>
        <v>12.030039836946452</v>
      </c>
      <c r="G79" s="19" t="s">
        <v>59</v>
      </c>
    </row>
    <row r="80" spans="2:7" x14ac:dyDescent="0.2">
      <c r="B80" s="16" t="s">
        <v>605</v>
      </c>
      <c r="C80" s="17">
        <v>753.12</v>
      </c>
      <c r="D80" s="17">
        <v>5885.04</v>
      </c>
      <c r="E80" s="17">
        <f t="shared" si="4"/>
        <v>5131.92</v>
      </c>
      <c r="F80" s="18">
        <f t="shared" si="5"/>
        <v>6.8142128744423198</v>
      </c>
      <c r="G80" s="19" t="s">
        <v>59</v>
      </c>
    </row>
    <row r="81" spans="2:7" x14ac:dyDescent="0.2">
      <c r="B81" s="16" t="s">
        <v>606</v>
      </c>
      <c r="C81" s="17">
        <v>3238.51</v>
      </c>
      <c r="D81" s="17">
        <v>8327.56</v>
      </c>
      <c r="E81" s="17">
        <f t="shared" si="4"/>
        <v>5089.0499999999993</v>
      </c>
      <c r="F81" s="18">
        <f t="shared" si="5"/>
        <v>1.571417102309395</v>
      </c>
      <c r="G81" s="19" t="s">
        <v>59</v>
      </c>
    </row>
    <row r="82" spans="2:7" x14ac:dyDescent="0.2">
      <c r="B82" s="16" t="s">
        <v>607</v>
      </c>
      <c r="C82" s="17">
        <v>0</v>
      </c>
      <c r="D82" s="17">
        <v>5067.3900000000003</v>
      </c>
      <c r="E82" s="17">
        <f t="shared" si="4"/>
        <v>5067.3900000000003</v>
      </c>
      <c r="F82" s="18">
        <f t="shared" si="5"/>
        <v>0</v>
      </c>
      <c r="G82" s="19" t="s">
        <v>59</v>
      </c>
    </row>
    <row r="83" spans="2:7" x14ac:dyDescent="0.2">
      <c r="B83" s="16" t="s">
        <v>608</v>
      </c>
      <c r="C83" s="17">
        <v>9000</v>
      </c>
      <c r="D83" s="17">
        <v>13979.97</v>
      </c>
      <c r="E83" s="17">
        <f t="shared" si="4"/>
        <v>4979.9699999999993</v>
      </c>
      <c r="F83" s="18">
        <f t="shared" si="5"/>
        <v>0.55332999999999988</v>
      </c>
      <c r="G83" s="19" t="s">
        <v>59</v>
      </c>
    </row>
    <row r="84" spans="2:7" x14ac:dyDescent="0.2">
      <c r="B84" s="16" t="s">
        <v>573</v>
      </c>
      <c r="C84" s="17">
        <v>4790.32</v>
      </c>
      <c r="D84" s="17">
        <v>0</v>
      </c>
      <c r="E84" s="17">
        <f t="shared" si="4"/>
        <v>-4790.32</v>
      </c>
      <c r="F84" s="18">
        <f t="shared" si="5"/>
        <v>-1</v>
      </c>
      <c r="G84" s="19" t="s">
        <v>59</v>
      </c>
    </row>
    <row r="85" spans="2:7" x14ac:dyDescent="0.2">
      <c r="B85" s="16" t="s">
        <v>575</v>
      </c>
      <c r="C85" s="17">
        <v>4746</v>
      </c>
      <c r="D85" s="17">
        <v>0</v>
      </c>
      <c r="E85" s="17">
        <f t="shared" si="4"/>
        <v>-4746</v>
      </c>
      <c r="F85" s="18">
        <f t="shared" si="5"/>
        <v>-1</v>
      </c>
      <c r="G85" s="19" t="s">
        <v>59</v>
      </c>
    </row>
    <row r="86" spans="2:7" x14ac:dyDescent="0.2">
      <c r="B86" s="16" t="s">
        <v>609</v>
      </c>
      <c r="C86" s="17">
        <v>0</v>
      </c>
      <c r="D86" s="17">
        <v>4616.76</v>
      </c>
      <c r="E86" s="17">
        <f t="shared" si="4"/>
        <v>4616.76</v>
      </c>
      <c r="F86" s="18">
        <f t="shared" si="5"/>
        <v>0</v>
      </c>
      <c r="G86" s="19" t="s">
        <v>59</v>
      </c>
    </row>
    <row r="87" spans="2:7" x14ac:dyDescent="0.2">
      <c r="B87" s="16" t="s">
        <v>496</v>
      </c>
      <c r="C87" s="17">
        <v>4596.79</v>
      </c>
      <c r="D87" s="17">
        <v>0</v>
      </c>
      <c r="E87" s="17">
        <f t="shared" si="4"/>
        <v>-4596.79</v>
      </c>
      <c r="F87" s="18">
        <f t="shared" si="5"/>
        <v>-1</v>
      </c>
      <c r="G87" s="19" t="s">
        <v>59</v>
      </c>
    </row>
    <row r="88" spans="2:7" x14ac:dyDescent="0.2">
      <c r="B88" s="16" t="s">
        <v>577</v>
      </c>
      <c r="C88" s="17">
        <v>4500</v>
      </c>
      <c r="D88" s="17">
        <v>0</v>
      </c>
      <c r="E88" s="17">
        <f t="shared" si="4"/>
        <v>-4500</v>
      </c>
      <c r="F88" s="18">
        <f t="shared" si="5"/>
        <v>-1</v>
      </c>
      <c r="G88" s="19" t="s">
        <v>59</v>
      </c>
    </row>
    <row r="89" spans="2:7" x14ac:dyDescent="0.2">
      <c r="B89" s="16" t="s">
        <v>610</v>
      </c>
      <c r="C89" s="17">
        <v>0</v>
      </c>
      <c r="D89" s="17">
        <v>4498.96</v>
      </c>
      <c r="E89" s="17">
        <f t="shared" si="4"/>
        <v>4498.96</v>
      </c>
      <c r="F89" s="18">
        <f t="shared" si="5"/>
        <v>0</v>
      </c>
      <c r="G89" s="19" t="s">
        <v>59</v>
      </c>
    </row>
    <row r="90" spans="2:7" x14ac:dyDescent="0.2">
      <c r="B90" s="16" t="s">
        <v>611</v>
      </c>
      <c r="C90" s="17">
        <v>0</v>
      </c>
      <c r="D90" s="17">
        <v>4494.2700000000004</v>
      </c>
      <c r="E90" s="17">
        <f t="shared" si="4"/>
        <v>4494.2700000000004</v>
      </c>
      <c r="F90" s="18">
        <f t="shared" si="5"/>
        <v>0</v>
      </c>
      <c r="G90" s="19" t="s">
        <v>59</v>
      </c>
    </row>
    <row r="91" spans="2:7" x14ac:dyDescent="0.2">
      <c r="B91" s="16" t="s">
        <v>612</v>
      </c>
      <c r="C91" s="17">
        <v>0</v>
      </c>
      <c r="D91" s="17">
        <v>4492.92</v>
      </c>
      <c r="E91" s="17">
        <f t="shared" si="4"/>
        <v>4492.92</v>
      </c>
      <c r="F91" s="18">
        <f t="shared" si="5"/>
        <v>0</v>
      </c>
      <c r="G91" s="19" t="s">
        <v>59</v>
      </c>
    </row>
    <row r="92" spans="2:7" x14ac:dyDescent="0.2">
      <c r="B92" s="16" t="s">
        <v>540</v>
      </c>
      <c r="C92" s="17">
        <v>5580.78</v>
      </c>
      <c r="D92" s="17">
        <v>1171.3699999999999</v>
      </c>
      <c r="E92" s="17">
        <f t="shared" si="4"/>
        <v>-4409.41</v>
      </c>
      <c r="F92" s="18">
        <f t="shared" si="5"/>
        <v>-0.79010640089736561</v>
      </c>
      <c r="G92" s="19" t="s">
        <v>59</v>
      </c>
    </row>
    <row r="93" spans="2:7" x14ac:dyDescent="0.2">
      <c r="B93" s="16" t="s">
        <v>546</v>
      </c>
      <c r="C93" s="17">
        <v>9566.0300000000007</v>
      </c>
      <c r="D93" s="17">
        <v>5264.5</v>
      </c>
      <c r="E93" s="17">
        <f t="shared" si="4"/>
        <v>-4301.5300000000007</v>
      </c>
      <c r="F93" s="18">
        <f t="shared" si="5"/>
        <v>-0.44966720781766317</v>
      </c>
      <c r="G93" s="19" t="s">
        <v>59</v>
      </c>
    </row>
    <row r="94" spans="2:7" x14ac:dyDescent="0.2">
      <c r="B94" s="16" t="s">
        <v>613</v>
      </c>
      <c r="C94" s="17">
        <v>4379.8500000000004</v>
      </c>
      <c r="D94" s="17">
        <v>98.45</v>
      </c>
      <c r="E94" s="17">
        <f t="shared" si="4"/>
        <v>-4281.4000000000005</v>
      </c>
      <c r="F94" s="18">
        <f t="shared" si="5"/>
        <v>-0.97752206125780572</v>
      </c>
      <c r="G94" s="19" t="s">
        <v>59</v>
      </c>
    </row>
    <row r="95" spans="2:7" x14ac:dyDescent="0.2">
      <c r="B95" s="16" t="s">
        <v>614</v>
      </c>
      <c r="C95" s="17">
        <v>4182.3</v>
      </c>
      <c r="D95" s="17">
        <v>0</v>
      </c>
      <c r="E95" s="17">
        <f t="shared" si="4"/>
        <v>-4182.3</v>
      </c>
      <c r="F95" s="18">
        <f t="shared" si="5"/>
        <v>-1</v>
      </c>
      <c r="G95" s="19" t="s">
        <v>59</v>
      </c>
    </row>
    <row r="96" spans="2:7" x14ac:dyDescent="0.2">
      <c r="B96" s="16" t="s">
        <v>572</v>
      </c>
      <c r="C96" s="17">
        <v>4797.34</v>
      </c>
      <c r="D96" s="17">
        <v>811.53</v>
      </c>
      <c r="E96" s="17">
        <f t="shared" si="4"/>
        <v>-3985.8100000000004</v>
      </c>
      <c r="F96" s="18">
        <f t="shared" si="5"/>
        <v>-0.83083750578445559</v>
      </c>
      <c r="G96" s="19" t="s">
        <v>59</v>
      </c>
    </row>
    <row r="97" spans="2:7" x14ac:dyDescent="0.2">
      <c r="B97" s="16" t="s">
        <v>615</v>
      </c>
      <c r="C97" s="17">
        <v>0</v>
      </c>
      <c r="D97" s="17">
        <v>3964.7</v>
      </c>
      <c r="E97" s="17">
        <f t="shared" si="4"/>
        <v>3964.7</v>
      </c>
      <c r="F97" s="18">
        <f t="shared" si="5"/>
        <v>0</v>
      </c>
      <c r="G97" s="19" t="s">
        <v>59</v>
      </c>
    </row>
    <row r="98" spans="2:7" x14ac:dyDescent="0.2">
      <c r="B98" s="16" t="s">
        <v>616</v>
      </c>
      <c r="C98" s="17">
        <v>4806.4799999999996</v>
      </c>
      <c r="D98" s="17">
        <v>8712.7900000000009</v>
      </c>
      <c r="E98" s="17">
        <f t="shared" ref="E98:E129" si="6">D98-C98</f>
        <v>3906.3100000000013</v>
      </c>
      <c r="F98" s="18">
        <f t="shared" ref="F98:F129" si="7">IFERROR(E98/ABS(C98),0)</f>
        <v>0.81271741482332216</v>
      </c>
      <c r="G98" s="19" t="s">
        <v>59</v>
      </c>
    </row>
    <row r="99" spans="2:7" x14ac:dyDescent="0.2">
      <c r="B99" s="16" t="s">
        <v>617</v>
      </c>
      <c r="C99" s="17">
        <v>4372.6099999999997</v>
      </c>
      <c r="D99" s="17">
        <v>490.65</v>
      </c>
      <c r="E99" s="17">
        <f t="shared" si="6"/>
        <v>-3881.9599999999996</v>
      </c>
      <c r="F99" s="18">
        <f t="shared" si="7"/>
        <v>-0.88779012992240325</v>
      </c>
      <c r="G99" s="19" t="s">
        <v>59</v>
      </c>
    </row>
    <row r="100" spans="2:7" x14ac:dyDescent="0.2">
      <c r="B100" s="16" t="s">
        <v>618</v>
      </c>
      <c r="C100" s="17">
        <v>3700</v>
      </c>
      <c r="D100" s="17">
        <v>0</v>
      </c>
      <c r="E100" s="17">
        <f t="shared" si="6"/>
        <v>-3700</v>
      </c>
      <c r="F100" s="18">
        <f t="shared" si="7"/>
        <v>-1</v>
      </c>
      <c r="G100" s="19" t="s">
        <v>59</v>
      </c>
    </row>
    <row r="101" spans="2:7" x14ac:dyDescent="0.2">
      <c r="B101" s="16" t="s">
        <v>619</v>
      </c>
      <c r="C101" s="17">
        <v>3744.49</v>
      </c>
      <c r="D101" s="17">
        <v>101.93</v>
      </c>
      <c r="E101" s="17">
        <f t="shared" si="6"/>
        <v>-3642.56</v>
      </c>
      <c r="F101" s="18">
        <f t="shared" si="7"/>
        <v>-0.97277866945832414</v>
      </c>
      <c r="G101" s="19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zoomScaleNormal="100" workbookViewId="0">
      <selection sqref="A1:G1"/>
    </sheetView>
  </sheetViews>
  <sheetFormatPr baseColWidth="10" defaultColWidth="8.6640625" defaultRowHeight="15" customHeight="1" x14ac:dyDescent="0.2"/>
  <cols>
    <col min="1" max="1" width="15" customWidth="1"/>
    <col min="2" max="7" width="16" customWidth="1"/>
  </cols>
  <sheetData>
    <row r="1" spans="1:7" x14ac:dyDescent="0.2">
      <c r="A1" s="3" t="s">
        <v>620</v>
      </c>
      <c r="B1" s="3"/>
      <c r="C1" s="3"/>
      <c r="D1" s="3"/>
      <c r="E1" s="3"/>
      <c r="F1" s="3"/>
      <c r="G1" s="3"/>
    </row>
    <row r="2" spans="1:7" x14ac:dyDescent="0.2">
      <c r="A2" s="15" t="s">
        <v>621</v>
      </c>
      <c r="B2" s="15" t="s">
        <v>622</v>
      </c>
      <c r="C2" s="15" t="s">
        <v>623</v>
      </c>
      <c r="D2" s="15" t="s">
        <v>624</v>
      </c>
      <c r="E2" s="15" t="s">
        <v>625</v>
      </c>
      <c r="F2" s="15" t="s">
        <v>626</v>
      </c>
      <c r="G2" s="15" t="s">
        <v>627</v>
      </c>
    </row>
    <row r="3" spans="1:7" x14ac:dyDescent="0.2">
      <c r="A3" s="16" t="s">
        <v>628</v>
      </c>
      <c r="B3" s="17">
        <v>73948.92</v>
      </c>
      <c r="C3" s="17">
        <v>271801.55</v>
      </c>
      <c r="D3" s="17">
        <v>25835.17</v>
      </c>
      <c r="E3" s="17">
        <f t="shared" ref="E3:E14" si="0">C3-B3</f>
        <v>197852.63</v>
      </c>
      <c r="F3" s="18">
        <f t="shared" ref="F3:F14" si="1">IFERROR(E3/B3,0)</f>
        <v>2.6755310287154974</v>
      </c>
      <c r="G3" s="17">
        <f t="shared" ref="G3:G14" si="2">D3-C3</f>
        <v>-245966.38</v>
      </c>
    </row>
    <row r="4" spans="1:7" x14ac:dyDescent="0.2">
      <c r="A4" s="16" t="s">
        <v>629</v>
      </c>
      <c r="B4" s="17">
        <v>162800.41</v>
      </c>
      <c r="C4" s="17">
        <v>182250.59</v>
      </c>
      <c r="D4" s="17">
        <v>69694.559999999998</v>
      </c>
      <c r="E4" s="17">
        <f t="shared" si="0"/>
        <v>19450.179999999993</v>
      </c>
      <c r="F4" s="18">
        <f t="shared" si="1"/>
        <v>0.11947254923989438</v>
      </c>
      <c r="G4" s="17">
        <f t="shared" si="2"/>
        <v>-112556.03</v>
      </c>
    </row>
    <row r="5" spans="1:7" x14ac:dyDescent="0.2">
      <c r="A5" s="16" t="s">
        <v>630</v>
      </c>
      <c r="B5" s="17">
        <v>281276.83</v>
      </c>
      <c r="C5" s="17">
        <v>212493.56</v>
      </c>
      <c r="D5" s="17">
        <v>379764.51</v>
      </c>
      <c r="E5" s="17">
        <f t="shared" si="0"/>
        <v>-68783.270000000019</v>
      </c>
      <c r="F5" s="18">
        <f t="shared" si="1"/>
        <v>-0.24453940980492425</v>
      </c>
      <c r="G5" s="17">
        <f t="shared" si="2"/>
        <v>167270.95000000001</v>
      </c>
    </row>
    <row r="6" spans="1:7" x14ac:dyDescent="0.2">
      <c r="A6" s="16" t="s">
        <v>631</v>
      </c>
      <c r="B6" s="17">
        <v>183336.32000000001</v>
      </c>
      <c r="C6" s="17">
        <v>138807.96</v>
      </c>
      <c r="D6" s="17">
        <v>142807.95000000001</v>
      </c>
      <c r="E6" s="17">
        <f t="shared" si="0"/>
        <v>-44528.360000000015</v>
      </c>
      <c r="F6" s="18">
        <f t="shared" si="1"/>
        <v>-0.2428780069328326</v>
      </c>
      <c r="G6" s="17">
        <f t="shared" si="2"/>
        <v>3999.9900000000198</v>
      </c>
    </row>
    <row r="7" spans="1:7" x14ac:dyDescent="0.2">
      <c r="A7" s="16" t="s">
        <v>632</v>
      </c>
      <c r="B7" s="17">
        <v>370282.63</v>
      </c>
      <c r="C7" s="17">
        <v>136616.26999999999</v>
      </c>
      <c r="D7" s="17">
        <v>373998.54</v>
      </c>
      <c r="E7" s="17">
        <f t="shared" si="0"/>
        <v>-233666.36000000002</v>
      </c>
      <c r="F7" s="18">
        <f t="shared" si="1"/>
        <v>-0.63104866679811589</v>
      </c>
      <c r="G7" s="17">
        <f t="shared" si="2"/>
        <v>237382.27</v>
      </c>
    </row>
    <row r="8" spans="1:7" x14ac:dyDescent="0.2">
      <c r="A8" s="16" t="s">
        <v>633</v>
      </c>
      <c r="B8" s="17">
        <v>192251.43</v>
      </c>
      <c r="C8" s="17">
        <v>194948.61</v>
      </c>
      <c r="D8" s="17">
        <v>296952.62</v>
      </c>
      <c r="E8" s="17">
        <f t="shared" si="0"/>
        <v>2697.179999999993</v>
      </c>
      <c r="F8" s="18">
        <f t="shared" si="1"/>
        <v>1.4029440509233108E-2</v>
      </c>
      <c r="G8" s="17">
        <f t="shared" si="2"/>
        <v>102004.01000000001</v>
      </c>
    </row>
    <row r="9" spans="1:7" x14ac:dyDescent="0.2">
      <c r="A9" s="16" t="s">
        <v>634</v>
      </c>
      <c r="B9" s="17">
        <v>130149.42</v>
      </c>
      <c r="C9" s="17">
        <v>227555.68</v>
      </c>
      <c r="D9" s="17">
        <v>283512.65000000002</v>
      </c>
      <c r="E9" s="17">
        <f t="shared" si="0"/>
        <v>97406.26</v>
      </c>
      <c r="F9" s="18">
        <f t="shared" si="1"/>
        <v>0.7484187021348232</v>
      </c>
      <c r="G9" s="17">
        <f t="shared" si="2"/>
        <v>55956.97000000003</v>
      </c>
    </row>
    <row r="10" spans="1:7" x14ac:dyDescent="0.2">
      <c r="A10" s="16" t="s">
        <v>635</v>
      </c>
      <c r="B10" s="17">
        <v>349659.07</v>
      </c>
      <c r="C10" s="17">
        <v>281435.05</v>
      </c>
      <c r="D10" s="17">
        <v>230341.47</v>
      </c>
      <c r="E10" s="17">
        <f t="shared" si="0"/>
        <v>-68224.020000000019</v>
      </c>
      <c r="F10" s="18">
        <f t="shared" si="1"/>
        <v>-0.19511583097215243</v>
      </c>
      <c r="G10" s="17">
        <f t="shared" si="2"/>
        <v>-51093.579999999987</v>
      </c>
    </row>
    <row r="11" spans="1:7" x14ac:dyDescent="0.2">
      <c r="A11" s="16" t="s">
        <v>636</v>
      </c>
      <c r="B11" s="17">
        <v>283111.3</v>
      </c>
      <c r="C11" s="17">
        <v>267934.01</v>
      </c>
      <c r="D11" s="17">
        <v>236351.83</v>
      </c>
      <c r="E11" s="17">
        <f t="shared" si="0"/>
        <v>-15177.289999999979</v>
      </c>
      <c r="F11" s="18">
        <f t="shared" si="1"/>
        <v>-5.3608916351978814E-2</v>
      </c>
      <c r="G11" s="17">
        <f t="shared" si="2"/>
        <v>-31582.180000000022</v>
      </c>
    </row>
    <row r="12" spans="1:7" x14ac:dyDescent="0.2">
      <c r="A12" s="16" t="s">
        <v>637</v>
      </c>
      <c r="B12" s="17">
        <v>310368.93</v>
      </c>
      <c r="C12" s="17">
        <v>263580.17</v>
      </c>
      <c r="D12" s="17">
        <v>377410.26</v>
      </c>
      <c r="E12" s="17">
        <f t="shared" si="0"/>
        <v>-46788.760000000009</v>
      </c>
      <c r="F12" s="18">
        <f t="shared" si="1"/>
        <v>-0.15075207431362414</v>
      </c>
      <c r="G12" s="17">
        <f t="shared" si="2"/>
        <v>113830.09000000003</v>
      </c>
    </row>
    <row r="13" spans="1:7" x14ac:dyDescent="0.2">
      <c r="A13" s="16" t="s">
        <v>638</v>
      </c>
      <c r="B13" s="17">
        <v>241636.5</v>
      </c>
      <c r="C13" s="17">
        <v>207468.47</v>
      </c>
      <c r="D13" s="17">
        <v>255571.99</v>
      </c>
      <c r="E13" s="17">
        <f t="shared" si="0"/>
        <v>-34168.03</v>
      </c>
      <c r="F13" s="18">
        <f t="shared" si="1"/>
        <v>-0.14140260266971255</v>
      </c>
      <c r="G13" s="17">
        <f t="shared" si="2"/>
        <v>48103.51999999999</v>
      </c>
    </row>
    <row r="14" spans="1:7" x14ac:dyDescent="0.2">
      <c r="A14" s="16" t="s">
        <v>639</v>
      </c>
      <c r="B14" s="17">
        <v>188274.65</v>
      </c>
      <c r="C14" s="17">
        <v>156882.60999999999</v>
      </c>
      <c r="D14" s="17">
        <v>290390.74</v>
      </c>
      <c r="E14" s="17">
        <f t="shared" si="0"/>
        <v>-31392.040000000008</v>
      </c>
      <c r="F14" s="18">
        <f t="shared" si="1"/>
        <v>-0.16673535178527757</v>
      </c>
      <c r="G14" s="17">
        <f t="shared" si="2"/>
        <v>133508.13</v>
      </c>
    </row>
    <row r="15" spans="1:7" x14ac:dyDescent="0.2">
      <c r="A15" s="23" t="s">
        <v>640</v>
      </c>
      <c r="B15" s="24">
        <f t="shared" ref="B15:G15" si="3">SUM(B3:B14)</f>
        <v>2767096.4099999997</v>
      </c>
      <c r="C15" s="24">
        <f t="shared" si="3"/>
        <v>2541774.5300000003</v>
      </c>
      <c r="D15" s="24">
        <f t="shared" si="3"/>
        <v>2962632.29</v>
      </c>
      <c r="E15" s="24">
        <f t="shared" si="3"/>
        <v>-225321.88000000006</v>
      </c>
      <c r="F15" s="24">
        <f t="shared" si="3"/>
        <v>1.7313708609708296</v>
      </c>
      <c r="G15" s="24">
        <f t="shared" si="3"/>
        <v>420857.76</v>
      </c>
    </row>
    <row r="18" spans="1:7" x14ac:dyDescent="0.2">
      <c r="A18" s="3" t="s">
        <v>641</v>
      </c>
      <c r="B18" s="3"/>
      <c r="C18" s="3"/>
      <c r="D18" s="3"/>
      <c r="E18" s="3"/>
      <c r="F18" s="3"/>
      <c r="G18" s="3"/>
    </row>
    <row r="19" spans="1:7" x14ac:dyDescent="0.2">
      <c r="A19" s="15" t="s">
        <v>621</v>
      </c>
      <c r="B19" s="15" t="s">
        <v>642</v>
      </c>
      <c r="C19" s="15" t="s">
        <v>643</v>
      </c>
      <c r="D19" s="15" t="s">
        <v>644</v>
      </c>
      <c r="E19" s="15" t="s">
        <v>625</v>
      </c>
      <c r="F19" s="15" t="s">
        <v>626</v>
      </c>
      <c r="G19" s="15" t="s">
        <v>627</v>
      </c>
    </row>
    <row r="20" spans="1:7" x14ac:dyDescent="0.2">
      <c r="A20" s="16" t="s">
        <v>628</v>
      </c>
      <c r="B20" s="17">
        <v>-56885</v>
      </c>
      <c r="C20" s="17">
        <v>13230</v>
      </c>
      <c r="D20" s="17">
        <v>-102543</v>
      </c>
      <c r="E20" s="17">
        <f t="shared" ref="E20:E31" si="4">C20-B20</f>
        <v>70115</v>
      </c>
      <c r="F20" s="18">
        <f t="shared" ref="F20:F31" si="5">IFERROR(E20/B20,0)</f>
        <v>-1.2325744923969413</v>
      </c>
      <c r="G20" s="17">
        <f t="shared" ref="G20:G31" si="6">D20-C20</f>
        <v>-115773</v>
      </c>
    </row>
    <row r="21" spans="1:7" x14ac:dyDescent="0.2">
      <c r="A21" s="16" t="s">
        <v>629</v>
      </c>
      <c r="B21" s="17">
        <v>-90388</v>
      </c>
      <c r="C21" s="17">
        <v>-8065</v>
      </c>
      <c r="D21" s="17">
        <v>-94575</v>
      </c>
      <c r="E21" s="17">
        <f t="shared" si="4"/>
        <v>82323</v>
      </c>
      <c r="F21" s="18">
        <f t="shared" si="5"/>
        <v>-0.91077355401159443</v>
      </c>
      <c r="G21" s="17">
        <f t="shared" si="6"/>
        <v>-86510</v>
      </c>
    </row>
    <row r="22" spans="1:7" x14ac:dyDescent="0.2">
      <c r="A22" s="16" t="s">
        <v>630</v>
      </c>
      <c r="B22" s="17">
        <v>93162</v>
      </c>
      <c r="C22" s="17">
        <v>1774</v>
      </c>
      <c r="D22" s="17">
        <v>47408</v>
      </c>
      <c r="E22" s="17">
        <f t="shared" si="4"/>
        <v>-91388</v>
      </c>
      <c r="F22" s="18">
        <f t="shared" si="5"/>
        <v>-0.98095790129022564</v>
      </c>
      <c r="G22" s="17">
        <f t="shared" si="6"/>
        <v>45634</v>
      </c>
    </row>
    <row r="23" spans="1:7" x14ac:dyDescent="0.2">
      <c r="A23" s="16" t="s">
        <v>631</v>
      </c>
      <c r="B23" s="17">
        <v>-10119</v>
      </c>
      <c r="C23" s="17">
        <v>-43599</v>
      </c>
      <c r="D23" s="17">
        <v>-28554</v>
      </c>
      <c r="E23" s="17">
        <f t="shared" si="4"/>
        <v>-33480</v>
      </c>
      <c r="F23" s="18">
        <f t="shared" si="5"/>
        <v>3.3086273347168693</v>
      </c>
      <c r="G23" s="17">
        <f t="shared" si="6"/>
        <v>15045</v>
      </c>
    </row>
    <row r="24" spans="1:7" x14ac:dyDescent="0.2">
      <c r="A24" s="16" t="s">
        <v>632</v>
      </c>
      <c r="B24" s="17">
        <v>104213</v>
      </c>
      <c r="C24" s="17">
        <v>-54607</v>
      </c>
      <c r="D24" s="17">
        <v>62195</v>
      </c>
      <c r="E24" s="17">
        <f t="shared" si="4"/>
        <v>-158820</v>
      </c>
      <c r="F24" s="18">
        <f t="shared" si="5"/>
        <v>-1.5239941274121271</v>
      </c>
      <c r="G24" s="17">
        <f t="shared" si="6"/>
        <v>116802</v>
      </c>
    </row>
    <row r="25" spans="1:7" x14ac:dyDescent="0.2">
      <c r="A25" s="16" t="s">
        <v>633</v>
      </c>
      <c r="B25" s="17">
        <v>14659</v>
      </c>
      <c r="C25" s="17">
        <v>-12718</v>
      </c>
      <c r="D25" s="17">
        <v>-878</v>
      </c>
      <c r="E25" s="17">
        <f t="shared" si="4"/>
        <v>-27377</v>
      </c>
      <c r="F25" s="18">
        <f t="shared" si="5"/>
        <v>-1.8675898765263661</v>
      </c>
      <c r="G25" s="17">
        <f t="shared" si="6"/>
        <v>11840</v>
      </c>
    </row>
    <row r="26" spans="1:7" x14ac:dyDescent="0.2">
      <c r="A26" s="16" t="s">
        <v>634</v>
      </c>
      <c r="B26" s="17">
        <v>-29723</v>
      </c>
      <c r="C26" s="17">
        <v>-16948</v>
      </c>
      <c r="D26" s="17">
        <v>-88079</v>
      </c>
      <c r="E26" s="17">
        <f t="shared" si="4"/>
        <v>12775</v>
      </c>
      <c r="F26" s="18">
        <f t="shared" si="5"/>
        <v>-0.42980183696127577</v>
      </c>
      <c r="G26" s="17">
        <f t="shared" si="6"/>
        <v>-71131</v>
      </c>
    </row>
    <row r="27" spans="1:7" x14ac:dyDescent="0.2">
      <c r="A27" s="16" t="s">
        <v>635</v>
      </c>
      <c r="B27" s="17">
        <v>28793</v>
      </c>
      <c r="C27" s="17">
        <v>-61603</v>
      </c>
      <c r="D27" s="17">
        <v>-26604</v>
      </c>
      <c r="E27" s="17">
        <f t="shared" si="4"/>
        <v>-90396</v>
      </c>
      <c r="F27" s="18">
        <f t="shared" si="5"/>
        <v>-3.1395130760948842</v>
      </c>
      <c r="G27" s="17">
        <f t="shared" si="6"/>
        <v>34999</v>
      </c>
    </row>
    <row r="28" spans="1:7" x14ac:dyDescent="0.2">
      <c r="A28" s="16" t="s">
        <v>636</v>
      </c>
      <c r="B28" s="17">
        <v>10565</v>
      </c>
      <c r="C28" s="17">
        <v>26613</v>
      </c>
      <c r="D28" s="17">
        <v>-27726</v>
      </c>
      <c r="E28" s="17">
        <f t="shared" si="4"/>
        <v>16048</v>
      </c>
      <c r="F28" s="18">
        <f t="shared" si="5"/>
        <v>1.518977756743966</v>
      </c>
      <c r="G28" s="17">
        <f t="shared" si="6"/>
        <v>-54339</v>
      </c>
    </row>
    <row r="29" spans="1:7" x14ac:dyDescent="0.2">
      <c r="A29" s="16" t="s">
        <v>637</v>
      </c>
      <c r="B29" s="17">
        <v>76951</v>
      </c>
      <c r="C29" s="17">
        <v>43526</v>
      </c>
      <c r="D29" s="17">
        <v>184116</v>
      </c>
      <c r="E29" s="17">
        <f t="shared" si="4"/>
        <v>-33425</v>
      </c>
      <c r="F29" s="18">
        <f t="shared" si="5"/>
        <v>-0.43436732466114802</v>
      </c>
      <c r="G29" s="17">
        <f t="shared" si="6"/>
        <v>140590</v>
      </c>
    </row>
    <row r="30" spans="1:7" x14ac:dyDescent="0.2">
      <c r="A30" s="16" t="s">
        <v>638</v>
      </c>
      <c r="B30" s="17">
        <v>95039</v>
      </c>
      <c r="C30" s="17">
        <v>25842</v>
      </c>
      <c r="D30" s="17">
        <v>31983</v>
      </c>
      <c r="E30" s="17">
        <f t="shared" si="4"/>
        <v>-69197</v>
      </c>
      <c r="F30" s="18">
        <f t="shared" si="5"/>
        <v>-0.72809057334357474</v>
      </c>
      <c r="G30" s="17">
        <f t="shared" si="6"/>
        <v>6141</v>
      </c>
    </row>
    <row r="31" spans="1:7" x14ac:dyDescent="0.2">
      <c r="A31" s="16" t="s">
        <v>639</v>
      </c>
      <c r="B31" s="17">
        <v>-130180</v>
      </c>
      <c r="C31" s="17">
        <v>-8535</v>
      </c>
      <c r="D31" s="17">
        <v>18531</v>
      </c>
      <c r="E31" s="17">
        <f t="shared" si="4"/>
        <v>121645</v>
      </c>
      <c r="F31" s="18">
        <f t="shared" si="5"/>
        <v>-0.93443693347672452</v>
      </c>
      <c r="G31" s="17">
        <f t="shared" si="6"/>
        <v>27066</v>
      </c>
    </row>
    <row r="32" spans="1:7" x14ac:dyDescent="0.2">
      <c r="A32" s="25" t="s">
        <v>640</v>
      </c>
      <c r="B32" s="24">
        <f t="shared" ref="B32:G32" si="7">SUM(B20:B31)</f>
        <v>106087</v>
      </c>
      <c r="C32" s="24">
        <f t="shared" si="7"/>
        <v>-95090</v>
      </c>
      <c r="D32" s="24">
        <f t="shared" si="7"/>
        <v>-24726</v>
      </c>
      <c r="E32" s="24">
        <f t="shared" si="7"/>
        <v>-201177</v>
      </c>
      <c r="F32" s="24">
        <f t="shared" si="7"/>
        <v>-7.3544946047140263</v>
      </c>
      <c r="G32" s="24">
        <f t="shared" si="7"/>
        <v>70364</v>
      </c>
    </row>
  </sheetData>
  <mergeCells count="2">
    <mergeCell ref="A1:G1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tabSelected="1" zoomScale="155" zoomScaleNormal="155" workbookViewId="0">
      <selection activeCell="K15" sqref="K15"/>
    </sheetView>
  </sheetViews>
  <sheetFormatPr baseColWidth="10" defaultColWidth="8.6640625" defaultRowHeight="15" customHeight="1" x14ac:dyDescent="0.2"/>
  <cols>
    <col min="1" max="1" width="3.5" bestFit="1" customWidth="1"/>
    <col min="2" max="2" width="11.83203125" bestFit="1" customWidth="1"/>
    <col min="3" max="3" width="24.83203125" bestFit="1" customWidth="1"/>
    <col min="4" max="4" width="43.33203125" bestFit="1" customWidth="1"/>
    <col min="5" max="5" width="19.83203125" bestFit="1" customWidth="1"/>
    <col min="6" max="6" width="19.1640625" bestFit="1" customWidth="1"/>
  </cols>
  <sheetData>
    <row r="1" spans="1:8" ht="16" x14ac:dyDescent="0.2">
      <c r="A1" s="3" t="s">
        <v>645</v>
      </c>
      <c r="B1" s="3"/>
      <c r="C1" s="3"/>
      <c r="D1" s="3"/>
      <c r="E1" s="3"/>
      <c r="F1" s="3"/>
      <c r="G1" s="3"/>
      <c r="H1" s="3"/>
    </row>
    <row r="2" spans="1:8" x14ac:dyDescent="0.2">
      <c r="A2" s="15" t="s">
        <v>646</v>
      </c>
      <c r="B2" s="15" t="s">
        <v>647</v>
      </c>
      <c r="C2" s="15" t="s">
        <v>648</v>
      </c>
      <c r="D2" s="15" t="s">
        <v>649</v>
      </c>
      <c r="E2" s="15" t="s">
        <v>650</v>
      </c>
      <c r="F2" s="15" t="s">
        <v>651</v>
      </c>
    </row>
    <row r="3" spans="1:8" ht="45" customHeight="1" x14ac:dyDescent="0.2">
      <c r="A3" s="26">
        <v>1</v>
      </c>
      <c r="B3" s="27" t="s">
        <v>652</v>
      </c>
      <c r="C3" s="28" t="s">
        <v>653</v>
      </c>
      <c r="D3" s="29" t="s">
        <v>654</v>
      </c>
      <c r="E3" s="30" t="s">
        <v>655</v>
      </c>
      <c r="F3" s="31" t="s">
        <v>656</v>
      </c>
    </row>
    <row r="4" spans="1:8" ht="45" customHeight="1" x14ac:dyDescent="0.2">
      <c r="A4" s="26">
        <v>2</v>
      </c>
      <c r="B4" s="27" t="s">
        <v>652</v>
      </c>
      <c r="C4" s="28" t="s">
        <v>657</v>
      </c>
      <c r="D4" s="29" t="s">
        <v>658</v>
      </c>
      <c r="E4" s="30" t="s">
        <v>659</v>
      </c>
      <c r="F4" s="31" t="s">
        <v>660</v>
      </c>
    </row>
    <row r="5" spans="1:8" ht="45" customHeight="1" x14ac:dyDescent="0.2">
      <c r="A5" s="26">
        <v>3</v>
      </c>
      <c r="B5" s="32" t="s">
        <v>661</v>
      </c>
      <c r="C5" s="28" t="s">
        <v>662</v>
      </c>
      <c r="D5" s="29" t="s">
        <v>663</v>
      </c>
      <c r="E5" s="30" t="s">
        <v>664</v>
      </c>
      <c r="F5" s="31" t="s">
        <v>665</v>
      </c>
    </row>
    <row r="6" spans="1:8" ht="45" customHeight="1" x14ac:dyDescent="0.2">
      <c r="A6" s="26">
        <v>4</v>
      </c>
      <c r="B6" s="32" t="s">
        <v>661</v>
      </c>
      <c r="C6" s="28" t="s">
        <v>666</v>
      </c>
      <c r="D6" s="29" t="s">
        <v>667</v>
      </c>
      <c r="E6" s="30" t="s">
        <v>668</v>
      </c>
      <c r="F6" s="31" t="s">
        <v>669</v>
      </c>
    </row>
    <row r="7" spans="1:8" ht="45" customHeight="1" x14ac:dyDescent="0.2">
      <c r="A7" s="26">
        <v>5</v>
      </c>
      <c r="B7" s="33" t="s">
        <v>670</v>
      </c>
      <c r="C7" s="28" t="s">
        <v>671</v>
      </c>
      <c r="D7" s="29" t="s">
        <v>672</v>
      </c>
      <c r="E7" s="30" t="s">
        <v>673</v>
      </c>
      <c r="F7" s="31" t="s">
        <v>674</v>
      </c>
    </row>
    <row r="8" spans="1:8" ht="45" customHeight="1" x14ac:dyDescent="0.2">
      <c r="A8" s="26">
        <v>6</v>
      </c>
      <c r="B8" s="33" t="s">
        <v>670</v>
      </c>
      <c r="C8" s="28" t="s">
        <v>675</v>
      </c>
      <c r="D8" s="29" t="s">
        <v>676</v>
      </c>
      <c r="E8" s="30" t="s">
        <v>677</v>
      </c>
      <c r="F8" s="31" t="s">
        <v>660</v>
      </c>
    </row>
    <row r="9" spans="1:8" ht="45" customHeight="1" x14ac:dyDescent="0.2">
      <c r="A9" s="26">
        <v>7</v>
      </c>
      <c r="B9" s="33" t="s">
        <v>670</v>
      </c>
      <c r="C9" s="28" t="s">
        <v>678</v>
      </c>
      <c r="D9" s="29" t="s">
        <v>679</v>
      </c>
      <c r="E9" s="30" t="s">
        <v>680</v>
      </c>
      <c r="F9" s="31" t="s">
        <v>681</v>
      </c>
    </row>
    <row r="10" spans="1:8" ht="45" customHeight="1" x14ac:dyDescent="0.2">
      <c r="A10" s="26">
        <v>8</v>
      </c>
      <c r="B10" s="33" t="s">
        <v>670</v>
      </c>
      <c r="C10" s="28" t="s">
        <v>682</v>
      </c>
      <c r="D10" s="29" t="s">
        <v>683</v>
      </c>
      <c r="E10" s="30" t="s">
        <v>684</v>
      </c>
      <c r="F10" s="31" t="s">
        <v>685</v>
      </c>
    </row>
    <row r="11" spans="1:8" ht="45" customHeight="1" x14ac:dyDescent="0.2">
      <c r="A11" s="26">
        <v>9</v>
      </c>
      <c r="B11" s="33" t="s">
        <v>670</v>
      </c>
      <c r="C11" s="28" t="s">
        <v>686</v>
      </c>
      <c r="D11" s="29" t="s">
        <v>687</v>
      </c>
      <c r="E11" s="30" t="s">
        <v>688</v>
      </c>
      <c r="F11" s="31" t="s">
        <v>689</v>
      </c>
    </row>
    <row r="12" spans="1:8" ht="45" customHeight="1" x14ac:dyDescent="0.2">
      <c r="A12" s="26">
        <v>10</v>
      </c>
      <c r="B12" s="33" t="s">
        <v>690</v>
      </c>
      <c r="C12" s="28" t="s">
        <v>691</v>
      </c>
      <c r="D12" s="29" t="s">
        <v>692</v>
      </c>
      <c r="E12" s="30" t="s">
        <v>693</v>
      </c>
      <c r="F12" s="34" t="s">
        <v>694</v>
      </c>
    </row>
    <row r="15" spans="1:8" x14ac:dyDescent="0.2">
      <c r="A15" s="2" t="s">
        <v>695</v>
      </c>
      <c r="B15" s="2"/>
      <c r="C15" s="2"/>
      <c r="D15" s="2"/>
      <c r="E15" s="2"/>
      <c r="F15" s="2"/>
    </row>
    <row r="16" spans="1:8" x14ac:dyDescent="0.2">
      <c r="A16" s="1" t="s">
        <v>696</v>
      </c>
      <c r="B16" s="1"/>
      <c r="C16" s="1"/>
      <c r="D16" s="1"/>
      <c r="E16" s="1"/>
      <c r="F16" s="1"/>
    </row>
  </sheetData>
  <mergeCells count="3">
    <mergeCell ref="A1:H1"/>
    <mergeCell ref="A15:F15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MARGE - 23 vs 24 Brief</vt:lpstr>
      <vt:lpstr>MARGE - 24 vs 25 Brief</vt:lpstr>
      <vt:lpstr>P&amp;L Detail 23v24</vt:lpstr>
      <vt:lpstr>P&amp;L Detail 24v25</vt:lpstr>
      <vt:lpstr>Client Shifts 23v24</vt:lpstr>
      <vt:lpstr>Client Shifts 24v25</vt:lpstr>
      <vt:lpstr>Vendor Shifts 23v24</vt:lpstr>
      <vt:lpstr>Vendor Shifts 24v25</vt:lpstr>
      <vt:lpstr>Monthly Trends</vt:lpstr>
      <vt:lpstr>Marge's Verdict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Blue October Getaways Management</cp:lastModifiedBy>
  <cp:revision>0</cp:revision>
  <dcterms:created xsi:type="dcterms:W3CDTF">2026-02-06T14:51:46Z</dcterms:created>
  <dcterms:modified xsi:type="dcterms:W3CDTF">2026-02-06T15:03:29Z</dcterms:modified>
  <dc:language>en-US</dc:language>
</cp:coreProperties>
</file>